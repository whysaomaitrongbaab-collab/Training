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9a7fba7a2437fcb/work/Stecon/training/Training/"/>
    </mc:Choice>
  </mc:AlternateContent>
  <xr:revisionPtr revIDLastSave="3143" documentId="8_{3E5CC497-D56B-4BFF-9FF8-5E707F21A909}" xr6:coauthVersionLast="47" xr6:coauthVersionMax="47" xr10:uidLastSave="{9745E50F-283C-475B-9381-3C7B415679C6}"/>
  <bookViews>
    <workbookView xWindow="-98" yWindow="-98" windowWidth="21795" windowHeight="12975" firstSheet="1" activeTab="2" xr2:uid="{00000000-000D-0000-FFFF-FFFF00000000}"/>
  </bookViews>
  <sheets>
    <sheet name="Investor Dashboard" sheetId="20" r:id="rId1"/>
    <sheet name="README" sheetId="1" r:id="rId2"/>
    <sheet name="Assumptions" sheetId="2" r:id="rId3"/>
    <sheet name="GTM — Bottom-Up" sheetId="21" r:id="rId4"/>
    <sheet name="Market — TopDown" sheetId="3" r:id="rId5"/>
    <sheet name="Client — Small" sheetId="4" r:id="rId6"/>
    <sheet name="Client — Medium" sheetId="5" r:id="rId7"/>
    <sheet name="Client — Large" sheetId="6" r:id="rId8"/>
    <sheet name="Client — Summary" sheetId="7" r:id="rId9"/>
    <sheet name="AI Infra — Unit Cost" sheetId="15" r:id="rId10"/>
    <sheet name="Cost Structure" sheetId="16" r:id="rId11"/>
    <sheet name="Pricing Strategy" sheetId="17" r:id="rId12"/>
    <sheet name="5-Year Projection" sheetId="19" r:id="rId13"/>
    <sheet name="Business Model — Revenue" sheetId="8" r:id="rId14"/>
    <sheet name="Business Model — Cost" sheetId="9" r:id="rId15"/>
    <sheet name="Business Model — Profit" sheetId="10" r:id="rId16"/>
    <sheet name="Sustainability Impact" sheetId="18" r:id="rId17"/>
    <sheet name="Cost — Sustainability" sheetId="12" r:id="rId18"/>
    <sheet name="Competitors" sheetId="11" r:id="rId19"/>
    <sheet name="Win-Win Summary" sheetId="13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2" l="1"/>
  <c r="B26" i="15" s="1"/>
  <c r="B27" i="15" s="1"/>
  <c r="B28" i="15" s="1"/>
  <c r="B29" i="15" s="1"/>
  <c r="F7" i="19"/>
  <c r="F12" i="19" s="1"/>
  <c r="D26" i="3"/>
  <c r="C26" i="3"/>
  <c r="B26" i="3"/>
  <c r="D37" i="21"/>
  <c r="C37" i="21"/>
  <c r="B37" i="21"/>
  <c r="D36" i="21"/>
  <c r="D38" i="21" s="1"/>
  <c r="C36" i="21"/>
  <c r="C38" i="21" s="1"/>
  <c r="B36" i="21"/>
  <c r="B38" i="21" s="1"/>
  <c r="D7" i="8"/>
  <c r="C7" i="8"/>
  <c r="B7" i="8"/>
  <c r="B17" i="8"/>
  <c r="E12" i="16"/>
  <c r="F69" i="7"/>
  <c r="E69" i="7"/>
  <c r="D69" i="7"/>
  <c r="C69" i="7"/>
  <c r="B69" i="7"/>
  <c r="F68" i="7"/>
  <c r="E68" i="7"/>
  <c r="D68" i="7"/>
  <c r="C68" i="7"/>
  <c r="B68" i="7"/>
  <c r="F67" i="7"/>
  <c r="E67" i="7"/>
  <c r="D67" i="7"/>
  <c r="C67" i="7"/>
  <c r="B67" i="7"/>
  <c r="F66" i="7"/>
  <c r="E66" i="7"/>
  <c r="D66" i="7"/>
  <c r="C66" i="7"/>
  <c r="B66" i="7"/>
  <c r="F135" i="2"/>
  <c r="E135" i="2"/>
  <c r="D135" i="2"/>
  <c r="C135" i="2"/>
  <c r="B135" i="2"/>
  <c r="D134" i="2"/>
  <c r="D133" i="2"/>
  <c r="B130" i="2"/>
  <c r="B16" i="16"/>
  <c r="E6" i="16"/>
  <c r="F6" i="16" s="1"/>
  <c r="F12" i="16" s="1"/>
  <c r="D31" i="21"/>
  <c r="C31" i="21"/>
  <c r="B31" i="21"/>
  <c r="B30" i="21"/>
  <c r="D28" i="21"/>
  <c r="C28" i="21"/>
  <c r="B28" i="21"/>
  <c r="D27" i="21"/>
  <c r="C27" i="21"/>
  <c r="B27" i="21"/>
  <c r="D26" i="21"/>
  <c r="C26" i="21"/>
  <c r="B26" i="21"/>
  <c r="D21" i="21"/>
  <c r="C21" i="21"/>
  <c r="B21" i="21"/>
  <c r="B20" i="21"/>
  <c r="D18" i="21"/>
  <c r="C18" i="21"/>
  <c r="B18" i="21"/>
  <c r="D17" i="21"/>
  <c r="C17" i="21"/>
  <c r="B17" i="21"/>
  <c r="D16" i="21"/>
  <c r="C16" i="21"/>
  <c r="B16" i="21"/>
  <c r="D11" i="21"/>
  <c r="C11" i="21"/>
  <c r="B11" i="21"/>
  <c r="B10" i="21"/>
  <c r="D8" i="21"/>
  <c r="C8" i="21"/>
  <c r="B8" i="21"/>
  <c r="D7" i="21"/>
  <c r="C7" i="21"/>
  <c r="B7" i="21"/>
  <c r="D6" i="21"/>
  <c r="C6" i="21"/>
  <c r="B6" i="21"/>
  <c r="D22" i="20"/>
  <c r="C22" i="20"/>
  <c r="B22" i="20"/>
  <c r="D21" i="20"/>
  <c r="C21" i="20"/>
  <c r="B21" i="20"/>
  <c r="D8" i="20"/>
  <c r="C8" i="20"/>
  <c r="B8" i="20"/>
  <c r="E7" i="20"/>
  <c r="D7" i="20"/>
  <c r="C7" i="20"/>
  <c r="B7" i="20"/>
  <c r="E6" i="20"/>
  <c r="D6" i="20"/>
  <c r="C6" i="20"/>
  <c r="B6" i="20"/>
  <c r="B26" i="19"/>
  <c r="E5" i="19"/>
  <c r="D30" i="18"/>
  <c r="C30" i="18"/>
  <c r="B30" i="18"/>
  <c r="D25" i="18"/>
  <c r="C25" i="18"/>
  <c r="B25" i="18"/>
  <c r="D24" i="18"/>
  <c r="C24" i="18"/>
  <c r="B24" i="18"/>
  <c r="D23" i="18"/>
  <c r="C23" i="18"/>
  <c r="B23" i="18"/>
  <c r="D19" i="18"/>
  <c r="C19" i="18"/>
  <c r="B19" i="18"/>
  <c r="D18" i="18"/>
  <c r="C18" i="18"/>
  <c r="B18" i="18"/>
  <c r="D17" i="18"/>
  <c r="C17" i="18"/>
  <c r="B17" i="18"/>
  <c r="D16" i="18"/>
  <c r="C16" i="18"/>
  <c r="B16" i="18"/>
  <c r="D15" i="18"/>
  <c r="C15" i="18"/>
  <c r="B15" i="18"/>
  <c r="D14" i="18"/>
  <c r="C14" i="18"/>
  <c r="B14" i="18"/>
  <c r="D13" i="18"/>
  <c r="C13" i="18"/>
  <c r="B13" i="18"/>
  <c r="D9" i="18"/>
  <c r="C9" i="18"/>
  <c r="B9" i="18"/>
  <c r="D8" i="18"/>
  <c r="C8" i="18"/>
  <c r="B8" i="18"/>
  <c r="D7" i="18"/>
  <c r="C7" i="18"/>
  <c r="B7" i="18"/>
  <c r="D6" i="18"/>
  <c r="C6" i="18"/>
  <c r="B6" i="18"/>
  <c r="B21" i="17"/>
  <c r="B20" i="17"/>
  <c r="D17" i="17"/>
  <c r="C17" i="17"/>
  <c r="B17" i="17"/>
  <c r="D16" i="17"/>
  <c r="C16" i="17"/>
  <c r="B16" i="17"/>
  <c r="D15" i="17"/>
  <c r="C15" i="17"/>
  <c r="B15" i="17"/>
  <c r="D7" i="17"/>
  <c r="C7" i="17"/>
  <c r="B7" i="17"/>
  <c r="D6" i="17"/>
  <c r="C6" i="17"/>
  <c r="B6" i="17"/>
  <c r="D23" i="15"/>
  <c r="C23" i="15"/>
  <c r="B23" i="15"/>
  <c r="D22" i="15"/>
  <c r="C22" i="15"/>
  <c r="B22" i="15"/>
  <c r="D21" i="15"/>
  <c r="C21" i="15"/>
  <c r="B21" i="15"/>
  <c r="D20" i="15"/>
  <c r="C20" i="15"/>
  <c r="B20" i="15"/>
  <c r="D16" i="15"/>
  <c r="C16" i="15"/>
  <c r="B16" i="15"/>
  <c r="D15" i="15"/>
  <c r="C15" i="15"/>
  <c r="B15" i="15"/>
  <c r="D14" i="15"/>
  <c r="C14" i="15"/>
  <c r="B14" i="15"/>
  <c r="D13" i="15"/>
  <c r="C13" i="15"/>
  <c r="B13" i="15"/>
  <c r="D12" i="15"/>
  <c r="C12" i="15"/>
  <c r="B12" i="15"/>
  <c r="B99" i="2"/>
  <c r="B98" i="2"/>
  <c r="C33" i="12"/>
  <c r="B33" i="12"/>
  <c r="C17" i="9"/>
  <c r="B17" i="9"/>
  <c r="C16" i="9"/>
  <c r="B16" i="9"/>
  <c r="C15" i="9"/>
  <c r="B15" i="9"/>
  <c r="D61" i="7"/>
  <c r="C61" i="7"/>
  <c r="B61" i="7"/>
  <c r="B59" i="7"/>
  <c r="B58" i="7"/>
  <c r="D55" i="7"/>
  <c r="C55" i="7"/>
  <c r="B55" i="7"/>
  <c r="B53" i="7"/>
  <c r="B52" i="7"/>
  <c r="B51" i="7"/>
  <c r="E48" i="7"/>
  <c r="D48" i="7"/>
  <c r="C48" i="7"/>
  <c r="B48" i="7"/>
  <c r="E47" i="7"/>
  <c r="D47" i="7"/>
  <c r="C47" i="7"/>
  <c r="B47" i="7"/>
  <c r="B45" i="7"/>
  <c r="C44" i="7"/>
  <c r="B44" i="7"/>
  <c r="E41" i="7"/>
  <c r="D41" i="7"/>
  <c r="C41" i="7"/>
  <c r="B41" i="7"/>
  <c r="E40" i="7"/>
  <c r="D40" i="7"/>
  <c r="C40" i="7"/>
  <c r="B40" i="7"/>
  <c r="E38" i="7"/>
  <c r="D38" i="7"/>
  <c r="C38" i="7"/>
  <c r="B38" i="7"/>
  <c r="E37" i="7"/>
  <c r="D37" i="7"/>
  <c r="C37" i="7"/>
  <c r="B37" i="7"/>
  <c r="E36" i="7"/>
  <c r="D36" i="7"/>
  <c r="C36" i="7"/>
  <c r="B36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C12" i="7"/>
  <c r="D14" i="11"/>
  <c r="B28" i="4"/>
  <c r="B26" i="12"/>
  <c r="E7" i="9"/>
  <c r="E6" i="9"/>
  <c r="E5" i="9"/>
  <c r="D13" i="13"/>
  <c r="C13" i="13"/>
  <c r="B13" i="13"/>
  <c r="D12" i="12"/>
  <c r="C12" i="12"/>
  <c r="B12" i="12"/>
  <c r="D7" i="9"/>
  <c r="C7" i="9"/>
  <c r="B7" i="9"/>
  <c r="D6" i="9"/>
  <c r="C6" i="9"/>
  <c r="B6" i="9"/>
  <c r="D5" i="9"/>
  <c r="C5" i="9"/>
  <c r="B5" i="9"/>
  <c r="D15" i="7"/>
  <c r="C15" i="7"/>
  <c r="B15" i="7"/>
  <c r="D5" i="7"/>
  <c r="C5" i="7"/>
  <c r="B5" i="7"/>
  <c r="E5" i="7" s="1"/>
  <c r="B27" i="6"/>
  <c r="D12" i="7" s="1"/>
  <c r="B7" i="6"/>
  <c r="D6" i="7" s="1"/>
  <c r="B6" i="6"/>
  <c r="B9" i="6" s="1"/>
  <c r="B27" i="5"/>
  <c r="B28" i="5" s="1"/>
  <c r="B11" i="5"/>
  <c r="B7" i="5"/>
  <c r="B16" i="5" s="1"/>
  <c r="B6" i="5"/>
  <c r="B9" i="5" s="1"/>
  <c r="B27" i="4"/>
  <c r="B12" i="7" s="1"/>
  <c r="B11" i="4"/>
  <c r="B9" i="4"/>
  <c r="B19" i="4" s="1"/>
  <c r="B8" i="4"/>
  <c r="B7" i="4"/>
  <c r="B16" i="4" s="1"/>
  <c r="B6" i="4"/>
  <c r="B7" i="3"/>
  <c r="B8" i="3" s="1"/>
  <c r="B6" i="3"/>
  <c r="B5" i="3"/>
  <c r="B53" i="2"/>
  <c r="B8" i="6" s="1"/>
  <c r="B48" i="2"/>
  <c r="B8" i="5" s="1"/>
  <c r="B43" i="2"/>
  <c r="E8" i="16" l="1"/>
  <c r="E7" i="19"/>
  <c r="E12" i="19" s="1"/>
  <c r="E7" i="16"/>
  <c r="E6" i="19"/>
  <c r="E10" i="19"/>
  <c r="F5" i="19"/>
  <c r="F10" i="19" s="1"/>
  <c r="B29" i="21"/>
  <c r="B32" i="21" s="1"/>
  <c r="D29" i="21"/>
  <c r="C29" i="21"/>
  <c r="B19" i="21"/>
  <c r="B22" i="21" s="1"/>
  <c r="C19" i="21"/>
  <c r="D19" i="21"/>
  <c r="B9" i="21"/>
  <c r="B12" i="21" s="1"/>
  <c r="D9" i="21"/>
  <c r="C9" i="21"/>
  <c r="C20" i="21"/>
  <c r="C22" i="21" s="1"/>
  <c r="C13" i="3"/>
  <c r="B23" i="3"/>
  <c r="B9" i="3"/>
  <c r="B28" i="6"/>
  <c r="B16" i="6"/>
  <c r="B19" i="6"/>
  <c r="B18" i="6"/>
  <c r="B8" i="7"/>
  <c r="B13" i="5"/>
  <c r="B14" i="5" s="1"/>
  <c r="C8" i="7"/>
  <c r="B19" i="5"/>
  <c r="B18" i="5"/>
  <c r="B18" i="4"/>
  <c r="B11" i="6"/>
  <c r="B12" i="5"/>
  <c r="C6" i="7"/>
  <c r="B12" i="4"/>
  <c r="B13" i="4" s="1"/>
  <c r="B14" i="4" s="1"/>
  <c r="B6" i="7"/>
  <c r="E6" i="7" s="1"/>
  <c r="F8" i="16" l="1"/>
  <c r="F14" i="16" s="1"/>
  <c r="E14" i="16"/>
  <c r="F7" i="16"/>
  <c r="F13" i="16" s="1"/>
  <c r="E13" i="16"/>
  <c r="F6" i="19"/>
  <c r="E12" i="20"/>
  <c r="E11" i="19"/>
  <c r="E13" i="20" s="1"/>
  <c r="D13" i="3"/>
  <c r="B8" i="16" s="1"/>
  <c r="C30" i="21"/>
  <c r="C32" i="21" s="1"/>
  <c r="C10" i="21"/>
  <c r="C12" i="21" s="1"/>
  <c r="B13" i="3"/>
  <c r="B5" i="8"/>
  <c r="B7" i="19"/>
  <c r="B12" i="19" s="1"/>
  <c r="C14" i="3"/>
  <c r="D20" i="21"/>
  <c r="D22" i="21" s="1"/>
  <c r="C15" i="3" s="1"/>
  <c r="B7" i="16"/>
  <c r="B6" i="19"/>
  <c r="B14" i="3"/>
  <c r="D10" i="21"/>
  <c r="D12" i="21" s="1"/>
  <c r="B15" i="3" s="1"/>
  <c r="B13" i="10" s="1"/>
  <c r="B5" i="19"/>
  <c r="B10" i="19" s="1"/>
  <c r="B6" i="16"/>
  <c r="B77" i="2"/>
  <c r="B82" i="2"/>
  <c r="B34" i="3" s="1"/>
  <c r="B22" i="8" s="1"/>
  <c r="B83" i="2"/>
  <c r="B35" i="3" s="1"/>
  <c r="B27" i="8" s="1"/>
  <c r="B33" i="3"/>
  <c r="D8" i="7"/>
  <c r="D12" i="13" s="1"/>
  <c r="B29" i="6"/>
  <c r="D9" i="7" s="1"/>
  <c r="B21" i="5"/>
  <c r="B20" i="5"/>
  <c r="B22" i="5" s="1"/>
  <c r="B24" i="5" s="1"/>
  <c r="B25" i="5" s="1"/>
  <c r="B12" i="6"/>
  <c r="B13" i="6" s="1"/>
  <c r="B14" i="6" s="1"/>
  <c r="B21" i="4"/>
  <c r="B20" i="4"/>
  <c r="B22" i="4" s="1"/>
  <c r="B24" i="4" s="1"/>
  <c r="B25" i="4" s="1"/>
  <c r="B12" i="13"/>
  <c r="B7" i="13"/>
  <c r="E12" i="7"/>
  <c r="B22" i="6"/>
  <c r="B21" i="6"/>
  <c r="B20" i="6"/>
  <c r="C12" i="13"/>
  <c r="C7" i="13"/>
  <c r="F12" i="20" l="1"/>
  <c r="F11" i="19"/>
  <c r="F13" i="20" s="1"/>
  <c r="D14" i="3"/>
  <c r="D30" i="21"/>
  <c r="D32" i="21" s="1"/>
  <c r="D15" i="3" s="1"/>
  <c r="B22" i="16"/>
  <c r="B14" i="16"/>
  <c r="B28" i="16" s="1"/>
  <c r="B17" i="19" s="1"/>
  <c r="B22" i="19" s="1"/>
  <c r="C5" i="8"/>
  <c r="C8" i="9" s="1"/>
  <c r="D12" i="8"/>
  <c r="D13" i="8" s="1"/>
  <c r="D29" i="18"/>
  <c r="D31" i="18" s="1"/>
  <c r="D5" i="8"/>
  <c r="C6" i="19"/>
  <c r="C7" i="16"/>
  <c r="D7" i="16"/>
  <c r="C29" i="18"/>
  <c r="C31" i="18" s="1"/>
  <c r="D6" i="19"/>
  <c r="B21" i="16"/>
  <c r="B13" i="16"/>
  <c r="B27" i="16" s="1"/>
  <c r="B16" i="19" s="1"/>
  <c r="B12" i="20"/>
  <c r="B11" i="19"/>
  <c r="C12" i="8"/>
  <c r="C13" i="8" s="1"/>
  <c r="C12" i="10" s="1"/>
  <c r="C13" i="10"/>
  <c r="C6" i="16"/>
  <c r="C5" i="19"/>
  <c r="C10" i="19" s="1"/>
  <c r="B12" i="8"/>
  <c r="B29" i="18"/>
  <c r="B31" i="18" s="1"/>
  <c r="D5" i="19"/>
  <c r="D6" i="16"/>
  <c r="B12" i="16"/>
  <c r="B20" i="16"/>
  <c r="C17" i="8"/>
  <c r="E5" i="8"/>
  <c r="B28" i="8"/>
  <c r="C18" i="9"/>
  <c r="C19" i="9"/>
  <c r="B23" i="8"/>
  <c r="B18" i="9"/>
  <c r="D7" i="13"/>
  <c r="E8" i="7"/>
  <c r="B24" i="6"/>
  <c r="B25" i="6" s="1"/>
  <c r="D8" i="13"/>
  <c r="D7" i="7"/>
  <c r="D6" i="13" s="1"/>
  <c r="B7" i="7"/>
  <c r="B29" i="4"/>
  <c r="B9" i="7" s="1"/>
  <c r="B29" i="5"/>
  <c r="C9" i="7" s="1"/>
  <c r="C8" i="13" s="1"/>
  <c r="C7" i="7"/>
  <c r="C6" i="13" s="1"/>
  <c r="C8" i="16" l="1"/>
  <c r="C7" i="19"/>
  <c r="C12" i="19" s="1"/>
  <c r="D13" i="10"/>
  <c r="D8" i="16"/>
  <c r="D7" i="19"/>
  <c r="C14" i="16"/>
  <c r="C22" i="16"/>
  <c r="D22" i="16"/>
  <c r="E22" i="16"/>
  <c r="E28" i="16" s="1"/>
  <c r="E17" i="19" s="1"/>
  <c r="F22" i="16"/>
  <c r="F28" i="16" s="1"/>
  <c r="F17" i="19" s="1"/>
  <c r="D14" i="16"/>
  <c r="D28" i="16" s="1"/>
  <c r="D17" i="19" s="1"/>
  <c r="D33" i="18"/>
  <c r="D27" i="20" s="1"/>
  <c r="D32" i="18"/>
  <c r="D26" i="20" s="1"/>
  <c r="D12" i="19"/>
  <c r="D17" i="20" s="1"/>
  <c r="C12" i="20"/>
  <c r="C11" i="19"/>
  <c r="C21" i="16"/>
  <c r="C13" i="16"/>
  <c r="C27" i="16" s="1"/>
  <c r="C16" i="19" s="1"/>
  <c r="D21" i="16"/>
  <c r="B8" i="17" s="1"/>
  <c r="E21" i="16"/>
  <c r="E27" i="16" s="1"/>
  <c r="E16" i="19" s="1"/>
  <c r="D13" i="16"/>
  <c r="D27" i="16" s="1"/>
  <c r="D16" i="19" s="1"/>
  <c r="F21" i="16"/>
  <c r="F27" i="16" s="1"/>
  <c r="F16" i="19" s="1"/>
  <c r="C33" i="18"/>
  <c r="C27" i="20" s="1"/>
  <c r="C32" i="18"/>
  <c r="C26" i="20" s="1"/>
  <c r="D12" i="20"/>
  <c r="D11" i="19"/>
  <c r="C17" i="20" s="1"/>
  <c r="B21" i="19"/>
  <c r="B24" i="19" s="1"/>
  <c r="B14" i="20" s="1"/>
  <c r="B13" i="20"/>
  <c r="C20" i="16"/>
  <c r="C12" i="16"/>
  <c r="C26" i="16" s="1"/>
  <c r="C15" i="19" s="1"/>
  <c r="C20" i="19" s="1"/>
  <c r="B33" i="18"/>
  <c r="B27" i="20" s="1"/>
  <c r="B32" i="18"/>
  <c r="B26" i="20" s="1"/>
  <c r="D10" i="19"/>
  <c r="B17" i="20" s="1"/>
  <c r="D20" i="16"/>
  <c r="E20" i="16"/>
  <c r="E26" i="16" s="1"/>
  <c r="E15" i="19" s="1"/>
  <c r="F20" i="16"/>
  <c r="F26" i="16" s="1"/>
  <c r="F15" i="19" s="1"/>
  <c r="D12" i="16"/>
  <c r="B26" i="16"/>
  <c r="B15" i="19" s="1"/>
  <c r="B20" i="19" s="1"/>
  <c r="B13" i="8"/>
  <c r="E6" i="8"/>
  <c r="B8" i="8"/>
  <c r="D6" i="8"/>
  <c r="D9" i="9" s="1"/>
  <c r="D14" i="13"/>
  <c r="D15" i="13" s="1"/>
  <c r="D16" i="13" s="1"/>
  <c r="B14" i="13"/>
  <c r="B15" i="13" s="1"/>
  <c r="D8" i="9"/>
  <c r="C14" i="13"/>
  <c r="C15" i="13" s="1"/>
  <c r="C16" i="13" s="1"/>
  <c r="C6" i="8"/>
  <c r="C9" i="9" s="1"/>
  <c r="C11" i="9" s="1"/>
  <c r="B8" i="9"/>
  <c r="B6" i="8"/>
  <c r="B9" i="9" s="1"/>
  <c r="B29" i="8"/>
  <c r="C28" i="10"/>
  <c r="C30" i="12"/>
  <c r="C31" i="12" s="1"/>
  <c r="C32" i="12" s="1"/>
  <c r="B24" i="8"/>
  <c r="B28" i="10"/>
  <c r="B30" i="12"/>
  <c r="B31" i="12" s="1"/>
  <c r="B32" i="12" s="1"/>
  <c r="C20" i="9"/>
  <c r="C29" i="10" s="1"/>
  <c r="C8" i="8"/>
  <c r="E17" i="7"/>
  <c r="D8" i="8"/>
  <c r="E7" i="8"/>
  <c r="E8" i="8" s="1"/>
  <c r="C18" i="8"/>
  <c r="B18" i="8"/>
  <c r="C16" i="12"/>
  <c r="C17" i="12" s="1"/>
  <c r="C18" i="12" s="1"/>
  <c r="C15" i="10"/>
  <c r="C14" i="10"/>
  <c r="E9" i="7"/>
  <c r="B8" i="13"/>
  <c r="D12" i="10"/>
  <c r="D16" i="12"/>
  <c r="D17" i="12" s="1"/>
  <c r="D18" i="12" s="1"/>
  <c r="B6" i="13"/>
  <c r="E7" i="7"/>
  <c r="D22" i="19" l="1"/>
  <c r="C28" i="16"/>
  <c r="C17" i="19" s="1"/>
  <c r="C22" i="19" s="1"/>
  <c r="C21" i="19"/>
  <c r="C24" i="19" s="1"/>
  <c r="C14" i="20" s="1"/>
  <c r="C13" i="20"/>
  <c r="D8" i="17"/>
  <c r="D9" i="17" s="1"/>
  <c r="D10" i="17" s="1"/>
  <c r="D11" i="17" s="1"/>
  <c r="B9" i="17"/>
  <c r="B10" i="17" s="1"/>
  <c r="B11" i="17" s="1"/>
  <c r="C8" i="17"/>
  <c r="C9" i="17" s="1"/>
  <c r="C10" i="17" s="1"/>
  <c r="C11" i="17" s="1"/>
  <c r="D21" i="19"/>
  <c r="D24" i="19" s="1"/>
  <c r="D14" i="20" s="1"/>
  <c r="D13" i="20"/>
  <c r="B12" i="10"/>
  <c r="B16" i="12"/>
  <c r="B17" i="12" s="1"/>
  <c r="B18" i="12" s="1"/>
  <c r="D26" i="16"/>
  <c r="D15" i="19" s="1"/>
  <c r="D20" i="19" s="1"/>
  <c r="B11" i="9"/>
  <c r="D11" i="9"/>
  <c r="B5" i="12"/>
  <c r="B6" i="12" s="1"/>
  <c r="B11" i="12" s="1"/>
  <c r="B5" i="10"/>
  <c r="B18" i="13"/>
  <c r="B16" i="13"/>
  <c r="C7" i="12"/>
  <c r="C6" i="10"/>
  <c r="F20" i="19"/>
  <c r="E21" i="19"/>
  <c r="E24" i="19" s="1"/>
  <c r="E14" i="20" s="1"/>
  <c r="F21" i="19"/>
  <c r="F24" i="19" s="1"/>
  <c r="F14" i="20" s="1"/>
  <c r="F22" i="19"/>
  <c r="E20" i="19"/>
  <c r="E22" i="19"/>
  <c r="C30" i="10"/>
  <c r="C31" i="10" s="1"/>
  <c r="C5" i="10"/>
  <c r="C5" i="12"/>
  <c r="C6" i="12" s="1"/>
  <c r="D17" i="8"/>
  <c r="D18" i="8" s="1"/>
  <c r="D19" i="8" s="1"/>
  <c r="B19" i="9"/>
  <c r="B20" i="9" s="1"/>
  <c r="B29" i="10" s="1"/>
  <c r="B30" i="10" s="1"/>
  <c r="B31" i="10" s="1"/>
  <c r="D5" i="10"/>
  <c r="C18" i="13"/>
  <c r="D5" i="12"/>
  <c r="D6" i="12" s="1"/>
  <c r="D11" i="12" s="1"/>
  <c r="E8" i="9"/>
  <c r="E9" i="9"/>
  <c r="B23" i="12"/>
  <c r="B24" i="12" s="1"/>
  <c r="B25" i="12" s="1"/>
  <c r="B21" i="10"/>
  <c r="D15" i="10"/>
  <c r="D14" i="10"/>
  <c r="B15" i="10" l="1"/>
  <c r="B14" i="10"/>
  <c r="B6" i="10"/>
  <c r="B7" i="10" s="1"/>
  <c r="B8" i="10" s="1"/>
  <c r="B7" i="12"/>
  <c r="B8" i="12" s="1"/>
  <c r="D6" i="10"/>
  <c r="D7" i="10" s="1"/>
  <c r="D8" i="10" s="1"/>
  <c r="D7" i="12"/>
  <c r="D8" i="12" s="1"/>
  <c r="C7" i="10"/>
  <c r="C8" i="10" s="1"/>
  <c r="C8" i="12"/>
  <c r="C11" i="12"/>
  <c r="E11" i="9"/>
  <c r="B22" i="10" s="1"/>
  <c r="B23" i="10" s="1"/>
  <c r="B24" i="10" s="1"/>
</calcChain>
</file>

<file path=xl/sharedStrings.xml><?xml version="1.0" encoding="utf-8"?>
<sst xmlns="http://schemas.openxmlformats.org/spreadsheetml/2006/main" count="1199" uniqueCount="697">
  <si>
    <t>Constistant — Financial Model</t>
  </si>
  <si>
    <t>โมเดลนี้สร้างจากสคริปต์ build_financial_model.py — ทุกช่องเป็นสูตร Excel จริง (ไม่ใช่ตัวเลขนิ่ง)</t>
  </si>
  <si>
    <t>ยกเว้นชีต Assumptions ที่เป็นค่าตั้งต้น แก้ที่นั่นที่เดียวแล้วทุกชีตจะคำนวณใหม่ทั้งหมด</t>
  </si>
  <si>
    <t>วิธีอ่านสี:</t>
  </si>
  <si>
    <t xml:space="preserve">  🟩 เขียว = มีที่มาอ้างอิงจริง จากงานวิจัยในโฟลเดอร์ STECON detail/Research/ (คอลัมน์ "ที่มา" บอกไฟล์+หัวข้อ)</t>
  </si>
  <si>
    <t xml:space="preserve">  🟨 เหลือง = สมมติฐาน — ไม่มีข้อมูลจริงรองรับ (เช่น ต้นทุนบริษัท, ราคาที่จะตั้ง, capture rate) ปรับได้อิสระ</t>
  </si>
  <si>
    <t>ลำดับชีต:</t>
  </si>
  <si>
    <t xml:space="preserve">  1. Assumptions — ค่าตั้งต้นทั้งหมด + dropdown เลือก Scenario (Worst/Base/Best) ที่เซลล์เดียว</t>
  </si>
  <si>
    <t xml:space="preserve">  2. Market — TopDown — ขนาดตลาดแบบ Top-Down (TAM→SAM→ผู้รับเหมา→กลุ่มพร้อมดิจิทัล→ลูกค้าที่จับได้)</t>
  </si>
  <si>
    <t xml:space="preserve">  3-5. Client — Small / Medium / Large — ต่อ 1 ลูกค้าแต่ละไซส์: เวลา/ต้นทุน error/เศษเหล็กที่ประหยัดได้ → ROI ให้ลูกค้า</t>
  </si>
  <si>
    <t xml:space="preserve">  6. Client — Summary — เทียบ 3 ไซส์ ถ่วงน้ำหนักเป็นรายได้เฉลี่ย/ลูกค้า</t>
  </si>
  <si>
    <t xml:space="preserve">  7-9. Business Model — Revenue / Cost / Profit — P&amp;L บริษัท 3 ปี</t>
  </si>
  <si>
    <t xml:space="preserve">  10. Competitors — ตำแหน่งของ Constistant เทียบคู่แข่ง SaaS ก่อสร้าง (ตารางอ้างอิงนิ่ง ยกเว้นแถวราคาของเราเอง)</t>
  </si>
  <si>
    <t xml:space="preserve">  11. Cost — Sustainability — เอารายได้จริงจากลูกค้ามาคิดย้อนกลับว่าต้นทุน/ขนาดทีม "จ่ายไหว" เท่าไร (แทนที่จะตั้งทีมเดาไว้ก่อนแล้วดูว่าขาดทุน)</t>
  </si>
  <si>
    <t xml:space="preserve">  12. Win-Win Summary — ลูกค้าและผู้ประกอบการหน้าเดียวกัน ต่อไซส์ลูกค้า (ตามหลัก Win-Win Financial Presentation)</t>
  </si>
  <si>
    <t>จุดที่ต้องระวังเป็นพิเศษก่อนใช้พรีเซนต์จริง:</t>
  </si>
  <si>
    <t xml:space="preserve">  • ต้นทุนบริษัททั้งหมด (ทีม/hosting/AI/CAC) เป็นสมมติฐานล้วน ไม่มีตัวเลขจริงในโปรเจกต์นี้ — ต้องแทนที่ด้วยตัวเลขทีมจริงก่อนอ้างในที่ประชุม</t>
  </si>
  <si>
    <t xml:space="preserve">  • เศษเหล็กที่ประหยัดได้ใช้ตัวเลข "วัดจากระบบจริง" (~10% ลดสัมพัทธ์) เป็นค่าหลัก ไม่ใช่ตัวเลขทฤษฎีจากงานวิจัยที่สูงกว่ามาก — ตั้งใจ ตามบทเรียนจากสไลด์เดิมที่เคยอ้างตัวเลขที่ระบบไม่ได้ผลิตจริง</t>
  </si>
  <si>
    <t xml:space="preserve">  • ขนาด Medium/ใหญ่ (ตร.ม., งบประมาณ, จำนวนงาน/ปี) เป็นสมมติฐานทั้งหมด ไม่มีงานวิจัยยืนยันตัวเลขตรงๆ (ไซส์ใหญ่อยู่นอกขอบเขต SAM ที่ researchE.md ระบุไว้โดยเฉพาะ)</t>
  </si>
  <si>
    <t xml:space="preserve">  • เป้า Gross Margin 70% ในชีต Cost — Sustainability เป็นมาตรฐาน SaaS สากลกว้างๆ ไม่ใช่ตัวเลขเจาะจงของตลาด ConTech ไทย</t>
  </si>
  <si>
    <t>แหล่งอ้างอิงทั้งหมด: STECON detail/Research/researchA.md, researchB.md, researchC.md, researchE.md</t>
  </si>
  <si>
    <t>และข้อมูลจริงจากตัวแอป Constistant เอง (ดู CLAUDE.md work log, 2026-08-31)</t>
  </si>
  <si>
    <t>Assumptions — ตัวเลขตั้งต้นของทั้งโมเดล</t>
  </si>
  <si>
    <t>แก้ค่าที่นี่ที่เดียว ทุกชีตอื่นดึงค่าจากตรงนี้ผ่านสูตรทั้งหมด ไม่มีตัวเลขฝังตรงในชีตอื่นเลย · 🟩 เขียว = มีที่มาอ้างอิงจริง (ดูคอลัมน์ "ที่มา") · 🟨 เหลือง = สมมติฐานที่ปรับได้ ยังไม่มีข้อมูลจริงรองรับ</t>
  </si>
  <si>
    <t>รายการ</t>
  </si>
  <si>
    <t>ค่า</t>
  </si>
  <si>
    <t>หน่วย</t>
  </si>
  <si>
    <t>ประเภท</t>
  </si>
  <si>
    <t>ที่มา / หมายเหตุ</t>
  </si>
  <si>
    <t>ตลาด (Top-Down Market) — จาก researchE.md</t>
  </si>
  <si>
    <t>มูลค่าตลาดก่อสร้างไทยรวม (TAM) — ต่ำ</t>
  </si>
  <si>
    <t>ล้านบาท/ปี</t>
  </si>
  <si>
    <t>🟩 อ้างอิงจริง</t>
  </si>
  <si>
    <t>Krungsri Research 2024 (2024-2027 forecast) — researchE.md §2</t>
  </si>
  <si>
    <t>มูลค่าตลาดก่อสร้างไทยรวม (TAM) — สูง</t>
  </si>
  <si>
    <t>SCB EIC 2023 — researchE.md §2</t>
  </si>
  <si>
    <t>อัตราเติบโตตลาดรวม/ปี</t>
  </si>
  <si>
    <t>%/ปี</t>
  </si>
  <si>
    <t>Krungsri Research — คาดการณ์ 2025-2027 เติบโต 2.0-2.5%/ปี (ใช้ขอบล่างแบบอนุรักษนิยม) — researchE.md §2</t>
  </si>
  <si>
    <t>ตลาดเป้าหมายตรง (SAM) — ต่ำ</t>
  </si>
  <si>
    <t>RakMao 2024, บ้านแนวราบ+อาคารพาณิชย์เล็ก-กลาง ~25% ของ TAM — researchE.md §2</t>
  </si>
  <si>
    <t>ตลาดเป้าหมายตรง (SAM) — สูง</t>
  </si>
  <si>
    <t>RakMao 2024 — researchE.md §2</t>
  </si>
  <si>
    <t>ผู้รับเหมาจดทะเบียนนิติบุคคลทั่วประเทศ</t>
  </si>
  <si>
    <t>ราย</t>
  </si>
  <si>
    <t>สัดส่วนที่เป็น SME (ไม่ใช่บริษัทใหญ่)</t>
  </si>
  <si>
    <t>%</t>
  </si>
  <si>
    <t>สัดส่วนที่ "พร้อมปรับใช้เทคโนโลยีใหม่" จริง</t>
  </si>
  <si>
    <t>TCA Magazine 2023 survey: 20% กำลังปรับใช้ / 60% รับรู้แต่ยังไม่ปรับ / 20% ไม่เปลี่ยนเลย — researchA.md §7</t>
  </si>
  <si>
    <t>สัดส่วนที่เข้าถึงได้จริงช่วงเริ่มต้น (โฟกัส กทม./ปริมณฑล/EEC ก่อน)</t>
  </si>
  <si>
    <t>🟨 สมมติฐาน</t>
  </si>
  <si>
    <t>งานวิจัยยืนยันว่าอัตราเปิดรับดิจิทัลในเขต กทม./ปริมณฑล/EEC สูงกว่าภูมิภาคอื่นอย่างมีนัยสำคัญ แต่ไม่มีตัวเลขสัดส่วนที่แน่นอน (Data Gap #2) — researchE.md §7. 30% เป็นสมมติฐานทีมจากสัดส่วนกิจกรรมก่อสร้างที่กระจุกตัวในเขตนี้ ใช้เป็นขอบเขต GTM ปีแรกๆ ที่ทีมเล็กเข้าถึงได้จริง แทนที่จะอ้างว่าเข้าถึงทั้งประเทศพร้อมกัน</t>
  </si>
  <si>
    <t>Scenario ที่เลือกอยู่ (สลับตรงนี้ ทั้งชีตจะขยับตาม)</t>
  </si>
  <si>
    <t>Base</t>
  </si>
  <si>
    <t>สมมติฐาน</t>
  </si>
  <si>
    <t>⚪ สูตร</t>
  </si>
  <si>
    <t>ประสิทธิภาพที่ใช้ร่วมกันทุกไซส์ลูกค้า — จาก researchA.md</t>
  </si>
  <si>
    <t>Constistant ทำงานเร็วกว่าถอดแบบมือกี่เท่า</t>
  </si>
  <si>
    <t>เท่า</t>
  </si>
  <si>
    <t>1-2 ชม./หมวดด้วยซอฟต์แวร์ vs. 6-8 ชม./หมวดด้วยมือ = เร็วกว่า 4-5 เท่า (ใช้ค่ากลาง) — researchA.md §2</t>
  </si>
  <si>
    <t>ชั่วโมงถอดแบบมือ ต่อ ตร.ม. (อ้างอิงบ้าน 300 ตร.ม. ใช้ 30 ชม.)</t>
  </si>
  <si>
    <t>ชม./ตร.ม.</t>
  </si>
  <si>
    <t>อนุพันธ์จาก 20-40 ชม. (ค่ากลาง 30 ชม.) ÷ พื้นที่กลาง 300 ตร.ม. (200-400 ตร.ม.) — researchA.md §2</t>
  </si>
  <si>
    <t>มูลค่าเวลาวิศวกร (บาท/ชม.)</t>
  </si>
  <si>
    <t>บาท/ชม.</t>
  </si>
  <si>
    <t>ประมาณจากเงินเดือนวิศวกร Junior/Mid ~30,000 บาท/เดือน ÷ 173 ชม.ทำงาน/เดือน — สมมติฐาน (ไม่มีตัวเลขนี้ตรงๆ ในงานวิจัย)</t>
  </si>
  <si>
    <t>ความเสี่ยง error จากการถอดแบบมือ — จาก researchA.md</t>
  </si>
  <si>
    <t>โอกาสเกิด error รุนแรงต่อโครงการ</t>
  </si>
  <si>
    <t>ค่ากลางของอัตรา fatigue error 5-10% บนแบบชุดใหญ่ — researchA.md §3</t>
  </si>
  <si>
    <t>ความเสียหายเมื่อเกิด error (% ของงบโครงการ)</t>
  </si>
  <si>
    <t>% ของงบ</t>
  </si>
  <si>
    <t>อนุพันธ์จาก 150,000-1,000,000 บาท ความเสียหาย บนงบ 3-10 ล้านบาท (150k/3M=5% ถึง 1M/10M=10%, ค่ากลาง 7.5%) — researchA.md §5</t>
  </si>
  <si>
    <t>Constistant ลดความเสี่ยงนี้ได้กี่ %</t>
  </si>
  <si>
    <t>จากความแม่นยำดิจิทัล 95-99% เทียบมือ 75-90% (researchA.md §3) — แปลงเป็น "ลดความเสี่ยงลง 90%" เป็นสมมติฐานประมาณการ</t>
  </si>
  <si>
    <t>เหล็กเสริมและเศษเหล็ก — จาก researchA.md / researchC.md / ข้อมูลจริงของแอป</t>
  </si>
  <si>
    <t>ราคาเหล็กเฉลี่ย (บาท/กก., ไม่รวม VAT)</t>
  </si>
  <si>
    <t>บาท/กก.</t>
  </si>
  <si>
    <t>เฉลี่ย 18.45-25.34 บาท/กก. (~21,500 บาท/ตัน) — researchC.md §1</t>
  </si>
  <si>
    <t>น้ำหนักเหล็กโดยประมาณ ต่อ ตร.ม.</t>
  </si>
  <si>
    <t>กก./ตร.ม.</t>
  </si>
  <si>
    <t>จากข้อมูลจริงของแอป Constistant เอง — โปรเจกต์เดโม 2 (บ้าน 400 ตร.ม. ชั้นเดียว) เหล็กรวม 29,486.95 กก. ÷ 400 ตร.ม. (CLAUDE.md work log, 2026-08-31)</t>
  </si>
  <si>
    <t>เศษเหล็กจากการตัดด้วยมือ (% ของน้ำหนักเหล็ก)</t>
  </si>
  <si>
    <t>ค่ากลางของช่วง 5-8% (สูงสุด 11.5% ในอาคารต้านแผ่นดินไหว) — researchA.md §4</t>
  </si>
  <si>
    <t>เศษเหล็กหลัง optimize — ทฤษฎีจากงานวิจัย (% ของน้ำหนักเหล็ก)</t>
  </si>
  <si>
    <t>ค่ากลางของช่วง 0.4-5.31% ขึ้นกับวิธี (GA/ILP/Special-length) — researchA.md §4, researchC.md §2</t>
  </si>
  <si>
    <t>เศษเหล็กที่ลดได้จริง — วัดจากระบบ Constistant เอง (ลดสัมพัทธ์เฉลี่ย)</t>
  </si>
  <si>
    <t>% ลดสัมพัทธ์</t>
  </si>
  <si>
    <t>วัดจริงด้วย optimizeCuttingStock() บนโปรเจกต์เดโม 2 โครงการของแอปเอง: โปรเจกต์ 1 ลดจาก 4.67%→3.73% (ลด 20.1%), โปรเจกต์ 2 ไม่ลดเลย (0%, เพราะเหล็กยาวเกินครึ่งเหล็กหน้างาน จับคู่เศษไม่ได้) — เฉลี่ย ~10% เป็นค่ากลางที่อนุรักษนิยมกว่า ตัวเลขทฤษฎีด้านบนมาก และเป็นตัวเลขที่ "วัดได้จริง" ไม่ใช่ทฤษฎี</t>
  </si>
  <si>
    <t>นิยามไซส์ลูกค้า — ขนาดงาน/ปี</t>
  </si>
  <si>
    <t>Small — พื้นที่ต่อโครงการ</t>
  </si>
  <si>
    <t>ตร.ม.</t>
  </si>
  <si>
    <t>ค่ากลางบ้าน 2 ชั้น 200-400 ตร.ม. — ตรงกับ scope ของ researchA.md ทั้งฉบับ</t>
  </si>
  <si>
    <t>Small — งบประมาณต่อโครงการ</t>
  </si>
  <si>
    <t>บาท</t>
  </si>
  <si>
    <t>ค่ากลางงบ 3-10 ล้านบาท ที่ researchA.md §5 ใช้พูดถึงผลกระทบทางการเงิน</t>
  </si>
  <si>
    <t>Small — จำนวนโครงการ/ปี ต่อ 1 ลูกค้า — ต่ำ</t>
  </si>
  <si>
    <t>โครงการ/ปี</t>
  </si>
  <si>
    <t>ผู้รับเหมารายเล็ก/เจ้าของบ้านมักทำ 1-2 โครงการบ้านเดี่ยว/ปี — สมมติฐาน</t>
  </si>
  <si>
    <t>Small — จำนวนโครงการ/ปี ต่อ 1 ลูกค้า — สูง</t>
  </si>
  <si>
    <t>→ Small — จำนวนโครงการ/ปี (ค่ากลาง, สูตร)</t>
  </si>
  <si>
    <t>Medium — พื้นที่ต่อโครงการ</t>
  </si>
  <si>
    <t>อาคารพาณิชย์/ที่พักอาศัยหลายหน่วยขนาดเล็ก-กลาง ตาม scope ของ SAM (researchE.md §2) — ไม่มีตัวเลข sqm ชัดเจนในงานวิจัย จึงเป็นสมมติฐาน</t>
  </si>
  <si>
    <t>Medium — งบประมาณต่อโครงการ</t>
  </si>
  <si>
    <t>สเกลตามสัดส่วนพื้นที่จาก Small (~5 เท่า) — สมมติฐาน</t>
  </si>
  <si>
    <t>Medium — จำนวนโครงการ/ปี ต่อ 1 ลูกค้า — ต่ำ</t>
  </si>
  <si>
    <t>Medium — จำนวนโครงการ/ปี ต่อ 1 ลูกค้า — สูง</t>
  </si>
  <si>
    <t>→ Medium — จำนวนโครงการ/ปี (ค่ากลาง, สูตร)</t>
  </si>
  <si>
    <t>ใหญ่ — พื้นที่ต่อโครงการ</t>
  </si>
  <si>
    <t>อาคารพาณิชย์/คอนโดขนาดใหญ่ — สเกลขึ้นจาก Medium (~2.7 เท่า) นอกขอบเขต SAM ที่ researchE.md ระบุไว้ (SAM เจาะจงงานแนวราบ+พาณิชย์เล็ก-กลาง ไม่รวมงานขนาดใหญ่ที่ 12-20 บริษัทใหญ่ครองอยู่) จึงเป็นสมมติฐานทีมล้วน ไม่มีงานวิจัยอ้างอิงตรงๆ</t>
  </si>
  <si>
    <t>ใหญ่ — งบประมาณต่อโครงการ</t>
  </si>
  <si>
    <t>สเกลตามสัดส่วนพื้นที่จาก Medium — สมมติฐานทีม เหตุผลเดียวกับข้างบน (นอกขอบเขต SAM ของงานวิจัย)</t>
  </si>
  <si>
    <t>ใหญ่ — จำนวนโครงการ/ปี ต่อ 1 ลูกค้า — ต่ำ</t>
  </si>
  <si>
    <t>ผู้รับเหมา/เจ้าของโครงการขนาดใหญ่มักมี 1-2 โครงการใหญ่ดำเนินการพร้อมกันต่อปี — สมมติฐาน</t>
  </si>
  <si>
    <t>ใหญ่ — จำนวนโครงการ/ปี ต่อ 1 ลูกค้า — สูง</t>
  </si>
  <si>
    <t>→ ใหญ่ — จำนวนโครงการ/ปี (ค่ากลาง, สูตร)</t>
  </si>
  <si>
    <t>ราคาที่ Constistant เก็บต่อไซส์ลูกค้า — อิงกรอบราคาจาก researchE.md (ยกเว้นไซส์ใหญ่ ดูหมายเหตุ)</t>
  </si>
  <si>
    <t>Medium — ราคา SaaS ต่อเดือน</t>
  </si>
  <si>
    <t>บาท/เดือน</t>
  </si>
  <si>
    <t>สัดส่วนลูกค้าแต่ละไซส์ (สมมติฐานทีม)</t>
  </si>
  <si>
    <t>สัดส่วนลูกค้า Small</t>
  </si>
  <si>
    <t>สมมติฐาน — ปรับได้</t>
  </si>
  <si>
    <t>สัดส่วนลูกค้า Medium</t>
  </si>
  <si>
    <t>สัดส่วนลูกค้า ใหญ่</t>
  </si>
  <si>
    <t>สมมติฐาน — ปรับได้ (ลูกค้าองค์กรใหญ่ปกติหายากกว่า SME ปรับสัดส่วนนี้ลงได้ถ้าคิดว่า 15% สูงเกินจริง)</t>
  </si>
  <si>
    <t>ต้นทุนบริษัท Constistant — ⚠️ ไม่มีข้อมูลจริงในโปรเจกต์นี้เลย ทุกค่าเป็นสมมติฐานเริ่มต้น ต้องแก้ให้ตรงทีมจริง</t>
  </si>
  <si>
    <t>ทีมพัฒนา+ปฏิบัติการ (คน)</t>
  </si>
  <si>
    <t>คน</t>
  </si>
  <si>
    <t>สมมติฐาน — ปรับตามทีมจริง</t>
  </si>
  <si>
    <t>เงินเดือนเฉลี่ย/คน/เดือน</t>
  </si>
  <si>
    <t>ค่า Hosting/Infra ต่อเดือน (Supabase ฯลฯ)</t>
  </si>
  <si>
    <t>ต้นทุน AI ต่อการสแกน 1 หน้าแบบ (Qwen-VL-Max)</t>
  </si>
  <si>
    <t>บาท/หน้า</t>
  </si>
  <si>
    <t>จำนวนหน้าแบบที่สแกน/โครงการ (เฉลี่ย)</t>
  </si>
  <si>
    <t>หน้า/โครงการ</t>
  </si>
  <si>
    <t>ต้นทุนหาลูกค้าใหม่ 1 ราย (CAC)</t>
  </si>
  <si>
    <t>บาท/ลูกค้าใหม่</t>
  </si>
  <si>
    <t>ค่าใช้จ่ายทั่วไป/เดือน (office, misc)</t>
  </si>
  <si>
    <t>งบต้นทุนที่ "ยั่งยืน" ได้ — อิงจากรายได้ลูกค้าจริง ไม่ใช่เดาทีมก่อนแล้วค่อยดูว่าขาดทุนไหม</t>
  </si>
  <si>
    <t>เป้า Gross Margin (มาตรฐาน SaaS ทั่วไป)</t>
  </si>
  <si>
    <t>เกณฑ์ทั่วไปของ SaaS ระยะเริ่มต้นที่ยังลงทุนหนัก (มาตรฐานอุตสาหกรรมกว้างๆ 70-85%) — ไม่มีตัวเลขนี้เจาะจงสำหรับ ConTech ไทยในงานวิจัยที่มี ใช้เป็นสมมติฐานอ้างอิงมาตรฐานสากล ปรับได้</t>
  </si>
  <si>
    <t>Market — Top-Down Sizing</t>
  </si>
  <si>
    <t>TAM → SAM → ผู้รับเหมาที่เข้าถึงได้ → กลุ่มพร้อมดิจิทัล → ลูกค้าที่จับได้ (SOM) ต่อปี ต่อ Scenario</t>
  </si>
  <si>
    <t>Funnel</t>
  </si>
  <si>
    <t>มูลค่าตลาดรวม (TAM, ค่ากลาง)</t>
  </si>
  <si>
    <t>ตลาดเป้าหมายตรง (SAM, ค่ากลาง)</t>
  </si>
  <si>
    <t>กลุ่มพร้อมปรับใช้ดิจิทัลจริง (× 20%)</t>
  </si>
  <si>
    <t>→ กลุ่มที่เข้าถึงได้จริงช่วงเริ่มต้น (โฟกัส กทม./ปริมณฑล/EEC ก่อน)</t>
  </si>
  <si>
    <t>ปี</t>
  </si>
  <si>
    <t>Worst (ราย)</t>
  </si>
  <si>
    <t>Base (ราย)</t>
  </si>
  <si>
    <t>Best (ราย)</t>
  </si>
  <si>
    <t>ปีที่ 1</t>
  </si>
  <si>
    <t>ปีที่ 2</t>
  </si>
  <si>
    <t>ปีที่ 3</t>
  </si>
  <si>
    <t>Client — Small (บ้านเดี่ยว/รายย่อย)</t>
  </si>
  <si>
    <t>ขนาดงาน · เวลาที่ใช้แบบมือ vs. Constistant · มูลค่าที่ประหยัดได้ · ราคาที่เราคิด · ROI ให้ลูกค้า — ทุกช่องเป็นสูตรอ้างอิง Assumptions</t>
  </si>
  <si>
    <t>สูตร/ที่มา</t>
  </si>
  <si>
    <t>ขนาดงาน</t>
  </si>
  <si>
    <t>พื้นที่ก่อสร้าง (เทียบเท่า)</t>
  </si>
  <si>
    <t>งบประมาณ/มูลค่างานต่อโครงการ</t>
  </si>
  <si>
    <t>จำนวนโครงการ/งาน ต่อปี ต่อ 1 ลูกค้า (ค่ากลางของช่วง)</t>
  </si>
  <si>
    <t>น้ำหนักเหล็กโดยประมาณ/โครงการ</t>
  </si>
  <si>
    <t>กก.</t>
  </si>
  <si>
    <t>เวลาที่ใช้: มือ vs. Constistant</t>
  </si>
  <si>
    <t>ชั่วโมงถอดแบบด้วยมือ/โครงการ</t>
  </si>
  <si>
    <t>ชม.</t>
  </si>
  <si>
    <t>ชั่วโมงด้วย Constistant/โครงการ</t>
  </si>
  <si>
    <t>ชั่วโมงที่ประหยัดได้/โครงการ</t>
  </si>
  <si>
    <t>มูลค่าเวลาที่ประหยัดได้/โครงการ</t>
  </si>
  <si>
    <t>ความเสี่ยง error ที่หลีกเลี่ยงได้</t>
  </si>
  <si>
    <t>มูลค่าความเสียหายที่หลีกเลี่ยงได้/โครงการ</t>
  </si>
  <si>
    <t>เศษเหล็กที่ประหยัดได้</t>
  </si>
  <si>
    <t>เศษเหล็กแบบมือ</t>
  </si>
  <si>
    <t>เศษเหล็กหลัง optimize — ทฤษฎีงานวิจัย</t>
  </si>
  <si>
    <t>เศษเหล็กหลัง optimize — วัดจากระบบจริง</t>
  </si>
  <si>
    <t>มูลค่าที่ประหยัดได้ — ทฤษฎีงานวิจัย</t>
  </si>
  <si>
    <t>มูลค่าที่ประหยัดได้ — วัดจากระบบจริง (ใช้ค่านี้เป็นหลัก อนุรักษนิยมกว่า)</t>
  </si>
  <si>
    <t>รวมมูลค่าที่ลูกค้าได้รับ</t>
  </si>
  <si>
    <t>รวมมูลค่าที่ได้รับ/โครงการ (ใช้เศษเหล็ก "วัดจริง")</t>
  </si>
  <si>
    <t>รวมมูลค่าที่ได้รับ/ปี (ต่อ 1 ลูกค้า)</t>
  </si>
  <si>
    <t>ราคาที่ Constistant เก็บ และ ROI ให้ลูกค้า</t>
  </si>
  <si>
    <t>→ รายได้ที่เราได้รับ/ปี (ต่อ 1 ลูกค้า)</t>
  </si>
  <si>
    <t>ROI ให้ลูกค้า (มูลค่าที่ได้รับ ÷ ราคาที่จ่าย)</t>
  </si>
  <si>
    <t>Client — Medium (อาคารพาณิชย์/ที่พักหลายหน่วยขนาดกลาง)</t>
  </si>
  <si>
    <t>ราคา SaaS ต่อเดือน</t>
  </si>
  <si>
    <t>Client — ใหญ่ (อาคารพาณิชย์/คอนโดขนาดใหญ่)</t>
  </si>
  <si>
    <t>Client — Summary</t>
  </si>
  <si>
    <t>เทียบ 3 ไซส์ลูกค้าเคียงกัน แล้วถ่วงน้ำหนักตามสัดส่วนลูกค้า → รายได้เฉลี่ย/ลูกค้า/ปี ที่ป้อนเข้า Business Model</t>
  </si>
  <si>
    <t>Small</t>
  </si>
  <si>
    <t>Medium</t>
  </si>
  <si>
    <t>ใหญ่</t>
  </si>
  <si>
    <t>ถ่วงน้ำหนัก (Blended)</t>
  </si>
  <si>
    <t>พื้นที่/ขนาดงาน (ตร.ม. เทียบเท่า)</t>
  </si>
  <si>
    <t>งบประมาณต่อโครงการ</t>
  </si>
  <si>
    <t>มูลค่าที่ลูกค้าได้รับ/ปี</t>
  </si>
  <si>
    <t>รายได้ที่เราได้รับ/ปี ต่อ 1 ลูกค้า</t>
  </si>
  <si>
    <t>ROI ให้ลูกค้า</t>
  </si>
  <si>
    <t>สัดส่วนลูกค้า (จาก Assumptions)</t>
  </si>
  <si>
    <t>สัดส่วนลูกค้าแต่ละไซส์</t>
  </si>
  <si>
    <t>Business Model — Revenue</t>
  </si>
  <si>
    <t>รายได้บริษัท 3 ปี ทั้ง Scenario ที่ใช้งานอยู่ (dropdown) และเทียบ Worst/Base/Best เคียงกัน</t>
  </si>
  <si>
    <t>ลูกค้าสะสม — Scenario ที่ใช้งานอยู่ (ราย)</t>
  </si>
  <si>
    <t>ลูกค้าใหม่ที่เพิ่มขึ้นในปีนั้น (ราย)</t>
  </si>
  <si>
    <t>รายได้เฉลี่ย/ลูกค้า/ปี (ถ่วงน้ำหนัก)</t>
  </si>
  <si>
    <t>รวมรายได้ (Scenario ที่ใช้งานอยู่)</t>
  </si>
  <si>
    <t>เทียบรายได้ปีที่ 3 — Worst / Base / Best (ใช้ลูกค้าจากตาราง SOM เทียบ 3 Scenario)</t>
  </si>
  <si>
    <t>Worst</t>
  </si>
  <si>
    <t>Best</t>
  </si>
  <si>
    <t>ลูกค้าสะสมปีที่ 3 (ราย)</t>
  </si>
  <si>
    <t>รายได้ปีที่ 3</t>
  </si>
  <si>
    <t>Business Model — Cost</t>
  </si>
  <si>
    <t>ต้นทุนบริษัท 3 ปี — ⚠️ ทุกบรรทัดอ้างอิงสมมติฐานใน Assumptions (ไม่มีตัวเลขต้นทุนจริงในโปรเจกต์นี้)</t>
  </si>
  <si>
    <t>ทีมงาน (เงินเดือน × 12)</t>
  </si>
  <si>
    <t>Hosting/Infra</t>
  </si>
  <si>
    <t>ค่าใช้จ่ายทั่วไป</t>
  </si>
  <si>
    <t>ต้นทุน AI (ต่อการสแกนแบบ)</t>
  </si>
  <si>
    <t>ต้นทุนหาลูกค้าใหม่ (CAC × ลูกค้าใหม่)</t>
  </si>
  <si>
    <t>รวมต้นทุน</t>
  </si>
  <si>
    <t>Business Model — Profit</t>
  </si>
  <si>
    <t>Revenue − Cost = Profit, 3 ปี, Scenario ที่ใช้งานอยู่ + เทียบ Worst/Base/Best ปีที่ 3 — ดึงเลขนี้ไปใช้ในสไลด์ Financial ได้เลย</t>
  </si>
  <si>
    <t>รายได้ (Scenario ที่ใช้งานอยู่)</t>
  </si>
  <si>
    <t>ต้นทุน</t>
  </si>
  <si>
    <t>กำไร (Profit)</t>
  </si>
  <si>
    <t>Margin %</t>
  </si>
  <si>
    <t>หัวข้อสไลด์: เทียบปีที่ 3 — Worst / Base / Best</t>
  </si>
  <si>
    <t>ต้นทุนปีที่ 3 (ประมาณ — ทีม/hosting/overhead ใช้โครงสร้างเดียวกับ Base, AI cost + CAC สเกลตามลูกค้าจริงของแต่ละ Scenario)</t>
  </si>
  <si>
    <t>กำไรปีที่ 3</t>
  </si>
  <si>
    <t>Margin % ปีที่ 3</t>
  </si>
  <si>
    <t>หมายเหตุ: ทีมงาน/hosting/overhead ใช้ตัวเลขเดียวกันทั้ง 3 Scenario (ไม่ได้ปรับขนาดทีมตามยอดขาย) ส่วน AI cost และ CAC ปรับตามจำนวนลูกค้าจริงของแต่ละ Scenario แล้ว — ปรับ headcount เองใน Assumptions ได้ถ้าต้องการให้ทีมโตตามยอดขาย Best case</t>
  </si>
  <si>
    <t>Competitors — ตำแหน่งของ Constistant เทียบคู่แข่ง</t>
  </si>
  <si>
    <t>Product</t>
  </si>
  <si>
    <t>ตลาด</t>
  </si>
  <si>
    <t>รูปแบบราคา</t>
  </si>
  <si>
    <t>ช่วงราคา</t>
  </si>
  <si>
    <t>กลุ่มเป้าหมาย</t>
  </si>
  <si>
    <t>ช่องว่างที่ Constistant เติมเต็ม</t>
  </si>
  <si>
    <t>BUILK (Builk One Group)</t>
  </si>
  <si>
    <t>ไทย/SEA</t>
  </si>
  <si>
    <t>Freemium + B2B Marketplace/FinTech</t>
  </si>
  <si>
    <t>ฟรี — รายได้จากค่าธรรมเนียมจัดซื้อวัสดุ/สินเชื่อ</t>
  </si>
  <si>
    <t>SME ทุกขนาด</t>
  </si>
  <si>
    <t>ไม่มี AI ถอดแบบ — ผู้ใช้ต้องคีย์ข้อมูลเองทั้งหมด ทำให้ DAU ต่ำ (researchB.md §6 case study)</t>
  </si>
  <si>
    <t>PEstimate / Estimate Construction Plus</t>
  </si>
  <si>
    <t>ไทย</t>
  </si>
  <si>
    <t>Annual subscription / Plug-in</t>
  </si>
  <si>
    <t>3,000–15,000 บาท/ปี/seat</t>
  </si>
  <si>
    <t>ผู้รับเหมาที่ใช้ CAD/BIM อยู่แล้ว</t>
  </si>
  <si>
    <t>เป็นเครื่องคิดเลข/plug-in ไม่ใช่ AI ถอดแบบจากภาพ — ยังต้องวัดระยะเองจากแบบ</t>
  </si>
  <si>
    <t>Fastwork / SA Consult (จ้างถอดแบบ)</t>
  </si>
  <si>
    <t>Pay-per-project (จ้างคนทำ)</t>
  </si>
  <si>
    <t>2,500–10,000 บาท/โครงการ (~10 บาท/ตร.ม.)</t>
  </si>
  <si>
    <t>รายที่ไม่มีวิศวกร/QS ในทีม</t>
  </si>
  <si>
    <t>เป็นบริการคน ไม่ scale ตามจำนวนโครงการ ใช้เวลา 4-7 วันทำการต่อโครงการ (researchA.md §2)</t>
  </si>
  <si>
    <t>Autodesk Construction Cloud (ACC)</t>
  </si>
  <si>
    <t>โลก</t>
  </si>
  <si>
    <t>Per-seat annual (Enterprise)</t>
  </si>
  <si>
    <t>30,000–60,000 บาท/seat/ปี</t>
  </si>
  <si>
    <t>บริษัทใหญ่/องค์กร</t>
  </si>
  <si>
    <t>แพงเกินงบ SME ไทย (เกิน CAC ที่ SME จ่ายไหว) และซับซ้อนเกินความจำเป็นของงานบ้าน/อาคารเล็ก</t>
  </si>
  <si>
    <t>โลก/SEA</t>
  </si>
  <si>
    <t>Enterprise SaaS Tiered</t>
  </si>
  <si>
    <t>Custom tier (ระดมทุน Series B $30.5M)</t>
  </si>
  <si>
    <t>ผู้รับเหมาทั่วไป/ผู้รับเหมาช่วงระดับสากล</t>
  </si>
  <si>
    <t>เน้นวัดพื้นที่ 2D ทั่วไป ไม่ผูกมาตรฐานวิศวกรรมไทย (มยผ./วสท.) และไม่มี confidence flag ระดับรายการ (researchB.md §1)</t>
  </si>
  <si>
    <t>Constistant (เรา)</t>
  </si>
  <si>
    <t>SME ก่อสร้างไทยทุกไซส์ ตั้งแต่บ้านเดี่ยวถึงอาคารพาณิชย์/คอนโดขนาดใหญ่</t>
  </si>
  <si>
    <t>AI ถอดแบบ + ตัดเหล็ก optimize จริง ผูกมาตรฐานไทย (มยผ./วสท./CGD) มี confidence flag ระดับรายการ ราคาเข้าถึงง่ายกว่า ACC และมีมูลค่าจริงต่างจาก BUILK ฟรี (ดูชีต Client — Small/Medium/Large)</t>
  </si>
  <si>
    <t>Cost — Sustainability</t>
  </si>
  <si>
    <t>เอารายได้จริงจากลูกค้า (ไม่ใช่ทีมที่เดาไว้ก่อน) มาคิดย้อนกลับว่าต้นทุน/ขนาดทีมที่ "จ่ายไหว" คือเท่าไร — ใช้เทียบกับชีต Business Model — Cost ว่าสมมติฐานทีมตอนนี้เกินงบที่รายได้รองรับได้หรือยัง</t>
  </si>
  <si>
    <t>งบต้นทุนสูงสุดที่ "ยั่งยืน" (= รายได้ × (1 − เป้า Gross Margin))</t>
  </si>
  <si>
    <t>ต้นทุนจริงตามสมมติฐานปัจจุบัน (จาก Business Model — Cost)</t>
  </si>
  <si>
    <t>ส่วนต่าง (บวก = ยังมีงบเหลือ · ลบ = เกินงบที่รายได้รองรับได้)</t>
  </si>
  <si>
    <t>แปลงงบที่ยั่งยืนเป็น "จ้างคนได้กี่คน" (สมมติทุ่มงบทั้งหมดให้ทีมเป็นเพดานบน — ไม่รวม hosting/AI/CAC จริง)</t>
  </si>
  <si>
    <t>ขนาดทีมสูงสุดที่จ่ายไหว (คน) = งบยั่งยืน ÷ (เงินเดือน×12)</t>
  </si>
  <si>
    <t>ขนาดทีมตามสมมติฐานปัจจุบัน (Assumptions)</t>
  </si>
  <si>
    <t>เทียบปีที่ 3 — Worst / Base / Best</t>
  </si>
  <si>
    <t>งบต้นทุนที่ยั่งยืนได้ ปีที่ 3</t>
  </si>
  <si>
    <t>ขนาดทีมสูงสุดที่จ่ายไหว ปีที่ 3 (คน)</t>
  </si>
  <si>
    <t>วิธีอ่าน: ถ้า "ส่วนต่าง" เป็นลบ แปลว่าทีม/ต้นทุนที่ตั้งไว้ใน Assumptions ใหญ่เกินกว่ารายได้ลูกค้าในปีนั้นจะรองรับได้ ที่ margin เป้าหมาย — ทางเลือกคือ (1) ลด headcount/ต้นทุนใน Assumptions ให้พอดีปีแรกๆ แล้วโตทีหลัง หรือ (2) ยอมรับว่าปีแรกๆ ขาดทุนตามธรรมชาติของ SaaS แล้วมีทุนมารองรับช่วงนั้น (runway)</t>
  </si>
  <si>
    <t>Win-Win Summary — ลูกค้าและเรา หน้าเดียวกัน</t>
  </si>
  <si>
    <t>ทุกแถวดึงจากชีตอื่นที่คำนวณไว้แล้ว (Client — Summary / Business Model — Revenue) ไม่มีตัวเลขใหม่เกิดขึ้นที่นี่ — หน้านี้แค่จัดให้เห็นทั้งสองฝั่งพร้อมกันตามหลัก Win-Win Presentation</t>
  </si>
  <si>
    <t>มุมมองลูกค้า (Client Benefits) — "ทำไมต้องจ่าย จะได้อะไรกลับมา"</t>
  </si>
  <si>
    <t>ราคาที่จ่าย/ปี (โปร่งใส ไม่มีค่าซ่อน)</t>
  </si>
  <si>
    <t>เงื่อนไขความเสี่ยง (Risk Mitigation)</t>
  </si>
  <si>
    <t>รายเดือน — ยกเลิกได้ทุกเดือน ไม่มีค่าปรับ</t>
  </si>
  <si>
    <t>มุมมองผู้ประกอบการ (Business Owner Benefits) — "เราได้ยอดขาย กำไร และความน่าเชื่อถือแค่ไหน"</t>
  </si>
  <si>
    <t>รายได้ที่เราได้รับ/ลูกค้า/ปี</t>
  </si>
  <si>
    <t>สัดส่วนลูกค้ากลุ่มนี้ (mix)</t>
  </si>
  <si>
    <t>ลูกค้าโดยประมาณ ปีที่ 3 (ราย, Scenario ที่ใช้งานอยู่)</t>
  </si>
  <si>
    <t>รายได้จากไซส์นี้ ปีที่ 3</t>
  </si>
  <si>
    <t>กำไรขั้นต้นโดยประมาณ (ที่เป้า Margin)</t>
  </si>
  <si>
    <t>รวมรายได้ปีที่ 3 ทุกไซส์ (เทียบกับ Business Model — Revenue โดยตรง)</t>
  </si>
  <si>
    <t>← ต้องเท่ากับช่องซ้าย (cross-check ว่าไม่มีตัวเลขหลุด)</t>
  </si>
  <si>
    <t>หมายเหตุ: แถว "เงื่อนไขความเสี่ยง" เป็นข้อความเสนอ (ยังไม่ใช่นโยบายที่ตัดสินใจแล้ว) ต้องให้เจ้าของผลิตภัณฑ์ยืนยันก่อนพูดบนเวทีจริง ว่าจะรับประกันคืนเงิน/ไม่มีสัญญาผูกมัดได้จริงหรือไม่ · แถวรวมรายได้ปีที่ 3 ด้านบนปัดเศษลูกค้าแยกทีละไซส์ก่อนคูณราคา ถ้าเปลี่ยนสมมติฐานแล้วสองช่องนี้ต่างกัน 1-2 ราย เป็นผลจากการปัดเศษแยกส่วน ไม่ใช่สูตรผิด</t>
  </si>
  <si>
    <t>Client Impact — นอกเหนือจากเหล็ก (คำอธิบายเชิงคุณภาพ มีที่มาอ้างอิง แต่ไม่ใช่ตัวเลขที่วัดได้ตรงๆ)</t>
  </si>
  <si>
    <t>มิติ</t>
  </si>
  <si>
    <t>สิ่งที่ลูกค้าได้รับ</t>
  </si>
  <si>
    <t>อ้างอิงจาก</t>
  </si>
  <si>
    <t>โครงการเสร็จเร็วขึ้น</t>
  </si>
  <si>
    <t>ลดความเสี่ยงล่าช้าที่เกิดจากข้อมูลถอดแบบผิด — งานวิจัยพบว่า 88% ของโครงการที่ต้นทุนบานปลายจากการถอดแบบผิด จะเจอความล่าช้าตามมาด้วย เฉลี่ย 10-25% ของแผนงาน (1-4 สัปดาห์ในบ้าน 2 ชั้น)</t>
  </si>
  <si>
    <t>researchA.md §5</t>
  </si>
  <si>
    <t>งานราบรื่นขึ้น ลดความขัดแย้งเรื่องตัวเลข</t>
  </si>
  <si>
    <t>ข้อมูลชุดเดียวที่ทุกฝ่ายอ้างอิงร่วมกัน ต่างจากการทำ Excel มือที่แต่ละคนใช้สูตร/เผื่อเสียไม่เหมือนกัน และต้องนับปริมาณใหม่ทั้งชุดทุกครั้งที่แบบมีการแก้ไข (version drift)</t>
  </si>
  <si>
    <t>researchB.md §2</t>
  </si>
  <si>
    <t>ลดภาระพึ่งพาผู้เชี่ยวชาญเฉพาะทาง (ไม่ใช่ลดคนหน้างาน)</t>
  </si>
  <si>
    <t>ผู้รับเหมารายเล็กในไทยกว่า 80% ไม่มีวิศวกร/QS ประจำ ต้องประมาณราคาเอง — Constistant ช่วยให้ทำงานที่เคยต้อง พึ่งผู้เชี่ยวชาญภายนอกได้ด้วยตัวเอง ไม่ได้แปลว่าใช้แรงงานหน้างานน้อยลง (ไม่มีข้อมูลยืนยันตัวเลขนี้)</t>
  </si>
  <si>
    <t>researchD.md</t>
  </si>
  <si>
    <t>ป้องกันการขาดทุนจากงบบานปลาย</t>
  </si>
  <si>
    <t>ความเสียหายจากถอดแบบผิด 150,000-1,000,000 บาท บนโครงการ 3-10 ล้านบาท กัดกินกำไรสุทธิที่ผู้รับเหมาไทย ปกติตั้งไว้เพียง 10-15% เกือบหมด</t>
  </si>
  <si>
    <t>งานเอกสาร/จัดซื้อเร็วขึ้น</t>
  </si>
  <si>
    <t>ถอดแบบ+ทำเอกสารประกวดราคาแบบมือใช้เวลาเฉลี่ย 12-15 วันทำการต่อชุด — เวลาที่เสียไปกับงานเอกสารส่วนนี้ลดลงได้มาก</t>
  </si>
  <si>
    <t>researchB.md §1</t>
  </si>
  <si>
    <t>หมายเหตุ: หมวดนี้เป็นคำอธิบายเชิงคุณภาพล้วน ไม่ใช่สูตร/ตัวเลขที่คำนวณได้ — เพราะไม่มีงานวิจัยที่หาได้ในเซสชันนี้ให้ตัวเลข "ลดคนได้กี่คน" หรือ "เร็วขึ้นกี่เปอร์เซ็นต์" ที่เชื่อถือได้ การใส่ตัวคูณปลอมจะเป็นความผิดพลาดแบบเดียวกับสไลด์ Financial เดิมที่เคยอ้างตัวเลขที่ระบบไม่ได้ผลิตจริง</t>
  </si>
  <si>
    <t>พื้นที่ × กก./ตร.ม. (Assumptions)</t>
  </si>
  <si>
    <t>งบ × โอกาสเกิด × ความเสียหาย% × Constistant ลดความเสี่ยงได้กี่%</t>
  </si>
  <si>
    <t>เดิม 2,000/เดือน ให้ ROI สูงถึง ~17.8x (ตั้งราคาต่ำกว่ามูลค่าที่ส่งมอบมาก) — ปรับเป็น 3,500/เดือน (2026 revision) ให้ยังอยู่ใกล้กรอบแนะนำ 1,000-3,000/เดือน (researchE.md §4/§1) แต่ ROI ให้ลูกค้ายังสูงพอจูงใจ</t>
  </si>
  <si>
    <t>ปีที่ 4 — สมมติฐานขยายตลาด (เต็มสูบแต่ยังอยู่ในขอบเขต SAM ของ researchE.md)</t>
  </si>
  <si>
    <t>สัดส่วนที่เข้าถึงได้จริงปีที่ 4 (ขยายจากภูมิภาคเป้าหมาย → ทั่วประเทศ)</t>
  </si>
  <si>
    <t>Aggressive: ขยาย GTM จากโฟกัส กทม./ปริมณฑล/EEC (30%) ไปทั่วประเทศภายในปีที่ 4 — ไม่มีงานวิจัยรองรับความเร็วนี้ตรงๆ เป็นสมมติฐานทีมที่ดันเต็มที่</t>
  </si>
  <si>
    <t>อัตราจับตลาดสะสมปีที่ 4 — Worst (% ของกลุ่มพร้อมดิจิทัลทั่วประเทศ)</t>
  </si>
  <si>
    <t>สมมติฐานทีม — ต่อจาก S-curve ปีที่ 1-3 แต่ฐานเปลี่ยนเป็นทั่วประเทศ (กว้างกว่าเดิม) จึง % ต่ำกว่าฐานภูมิภาคเดิม</t>
  </si>
  <si>
    <t>อัตราจับตลาดสะสมปีที่ 4 — Base (% ของกลุ่มพร้อมดิจิทัลทั่วประเทศ)</t>
  </si>
  <si>
    <t>สมมติฐานทีม</t>
  </si>
  <si>
    <t>ราคาขึ้น/upsell เฉลี่ยปีที่ 4 (ต่อ ARPU ปีที่ 3)</t>
  </si>
  <si>
    <t>สมมติฐานทีม — ลูกค้าเดิม upsell ไป tier สูงขึ้น/เพิ่ม seat + ลูกค้าใหม่ที่ราคาสูงขึ้นเล็กน้อย ไม่ใช่การเปลี่ยนราคาลิสต์</t>
  </si>
  <si>
    <t>ทีมงานปีที่ 4 (คน) — ต้องขยายจากปีที่ 1-3 เพื่อรองรับฐานลูกค้าที่ใหญ่ขึ้นมาก</t>
  </si>
  <si>
    <t>สมมติฐานทีม — อ้างอิงแนวทางจาก Cost — Sustainability ที่ชี้ว่า headcount 4 คนไม่พอรองรับ Best-case ตั้งแต่ปีที่ 3 แล้ว</t>
  </si>
  <si>
    <t>→ กลุ่มที่เข้าถึงได้จริงปีที่ 4 (ขยายทั่วประเทศ)</t>
  </si>
  <si>
    <t>ปีที่ 4</t>
  </si>
  <si>
    <t>ปีที่ 4 — ARPU เฉลี่ย/ลูกค้า/ปี (รวม upsell)</t>
  </si>
  <si>
    <t>ลูกค้าสะสมปีที่ 4 (ราย)</t>
  </si>
  <si>
    <t>รายได้ปีที่ 4</t>
  </si>
  <si>
    <t>ปีที่ 4 (Best-case)</t>
  </si>
  <si>
    <t>เทียบกำไรปีที่ 4 (Best-case, ขยายทั่วประเทศ+upsell) — ดูโครงสร้างเต็มที่ Business Model — Revenue/Cost แท็บ 15-19 และ E4-E11</t>
  </si>
  <si>
    <t>รายได้ปีที่ 4 (Best)</t>
  </si>
  <si>
    <t>ต้นทุนปีที่ 4 (Best, ทีมขยายเป็น 12 คนตาม Assumptions)</t>
  </si>
  <si>
    <t>กำไรปีที่ 4</t>
  </si>
  <si>
    <t>Margin % ปีที่ 4</t>
  </si>
  <si>
    <t>ปีที่ 4 (Best-case ขยายทั่วประเทศ+upsell)</t>
  </si>
  <si>
    <t>งบต้นทุนที่ยั่งยืนได้ ปีที่ 4</t>
  </si>
  <si>
    <t>ขนาดทีมสูงสุดที่จ่ายไหว ปีที่ 4 (คน)</t>
  </si>
  <si>
    <t>Small — ราคา SaaS ต่อเดือน (เปลี่ยนจาก Pay-per-takeoff เป็นรายเดือน)</t>
  </si>
  <si>
    <t>เดือน รางอิงมูลค่าสัญญาเดิม 7,000 บาท/โครงการ × 1.5 โครงการ/ปี ÷ 12 เดือน = 875 บาท/เดือน — เปลี่ยนเป็นจ่ายจรงรายเดือนเพื่อให้เหมือนกันทั้ง 3 ไซส์ — มูลค่าสัญญาต่อปีเท่าเดิม (10,500 บาท/ปี)</t>
  </si>
  <si>
    <t>ใหญ่ — ราคา SaaS ต่อเดือน (องค์กร เปลี่ยนจากรายปีเป็นรายเดือน ไม่ผูกจำนวน seat)</t>
  </si>
  <si>
    <t>เดือน รางอิงมูลค่าสัญญาเดิม 100,000 บาท/ปี ÷ 12 เดือน ≈ 8,333 บาท/เดือน — เปลี่ยนเป็นจ่ายจรงรายเดือนเพื่อให้เหมือนกันทั้ง 3 ไซส์ — มูลค่าสัญญาต่อปีเท่าเดิม (99,996 บาท/ปี ≈ 100,000)</t>
  </si>
  <si>
    <t>ราคา SaaS ต่อเดือน (องค์กร)</t>
  </si>
  <si>
    <t>ราคา (บาท/เดือน)</t>
  </si>
  <si>
    <t>SaaS รายเดือน ตามไซส์ลูกค้า (Small/Medium/ใหญ่)</t>
  </si>
  <si>
    <t>รายเดือน — เลจกใช้เมื่อไหนก็ได้ ไม่มีสัญญาผูกมัด</t>
  </si>
  <si>
    <t>รายเดือน — รับประกันความพึงพอใจ 30 วันแรก คืนเงินเต็มจำนวน</t>
  </si>
  <si>
    <t>🔴 เกินจำกัด SAM</t>
  </si>
  <si>
    <t>แหล่งที่มา</t>
  </si>
  <si>
    <t>2) จากความเสี่ยง error ที่หลีกเลี่ยงได้ (ลด cost ความเสียหาย)</t>
  </si>
  <si>
    <t>รวม = กำไรที่เพิ่มขึ้นของลูกค้า/ปี (ผลรวหจาก cost ที่ลด)</t>
  </si>
  <si>
    <t>สัดส่วน % ของกำไรที่เพิ่มขึ้น แยกตามแหล่งที่มา (% ของแต่ละไซส์)</t>
  </si>
  <si>
    <t>2) จากความเสี่ยง error ที่หลีกเลี่ยงได้</t>
  </si>
  <si>
    <t>รวม (ต้อง = 100%)</t>
  </si>
  <si>
    <t>กำไรที่เพิ่มขึ้น / ต้นทุนที่ลดลง เป็น % ของงบประมาณโครงการ/ปี (Value-for-money)</t>
  </si>
  <si>
    <t>งบประมาณโครงการรวม/ปี (งบ/โครงการ × จำนวนโครงการ/ปี)</t>
  </si>
  <si>
    <t>กำไรที่เพิ่มขึ้น = ต้นทุนที่ลดลง/ปี (จากแทง 24)</t>
  </si>
  <si>
    <t>ค่ากลางของช่วง 10-15% กำไรสุทธิที่ผู้รับเหมาไทยปกติตั้งไว้ — researchA.md §5</t>
  </si>
  <si>
    <t>① % Cost ที่ลดลง/ปี (เทียบกับงบโครงการรวม)</t>
  </si>
  <si>
    <t>กำไรสุทธิเดิมของผู้รับเหมา/ปี (ที่งบนี้, สมมติฐาน margin 12.5% — Assumptions!B81)</t>
  </si>
  <si>
    <t>② % กำไรที่เพิ่มขึ้น/ปี (เทียบกับกำไรสุทธิเดิม — มูลค่าที่ลูกค้ารู้สึกจริงมากกว่า)</t>
  </si>
  <si>
    <t>กำไรสุทธิเฉลี่ยของผู้รับเหมาไทย (% ของงบโครงการ) — ให้เทียบ % กำไรที่เพิ่มขึ้นจริง</t>
  </si>
  <si>
    <t>ราคาจริงที่เก็บ — ทั้ง 3 ไซส์เป็น SaaS จ่ายรายเดือนเหมือนกัน</t>
  </si>
  <si>
    <t>กำไรที่เพิ่มขึ้น / cost ที่ลดลงของลูกค้า — แยกตามแหล่งที่มา (บาท/ปี ต่อ 1 ลูกค้า) — เนื่องจากงบ/รายได้ของลูกค้าไม่เปลี่ยน cost ที่ลดลงจึงช่วยกำไรโดยตรง</t>
  </si>
  <si>
    <t>1) จากเวลาที่ประหยัดได้ (ลด cost แรงงานถอดแบบ)</t>
  </si>
  <si>
    <t>3) จากเศษเหล็กที่ประหยัดได้ (ลด cost วัสดุ, เลขวัดจริง)</t>
  </si>
  <si>
    <t>1) จากเวลาที่ประหยัดได้</t>
  </si>
  <si>
    <t>3) จากเศษเหล็กที่ประหยัดได้</t>
  </si>
  <si>
    <t>✓ ประเมินเซลล์: ต้องเท่ากับแถว B7:E7 (มูลค่าที่ลูกค้าได้รับ/ปี) — หากไม่เท่ากันแสดงว่ามีสูตรหลุด</t>
  </si>
  <si>
    <t>% ประหยัดวัสดุ (เศษเหล็ก) — แยกเฉพาะออกจากรวม</t>
  </si>
  <si>
    <t>มูลค่าที่ประหยัดจากเศษเหล็ก/ปี (จากแถว 23)</t>
  </si>
  <si>
    <t>เศษเหล็กแบบมือ → หลัง optimize (วัดจริง) — % ของน้ำหนักเหล็ก, สูตรเดียวเท่ากันทุกไซส์ (Assumptions!B35→B37)</t>
  </si>
  <si>
    <t>→ % ลดเศษเหล็กเชิงกายภาพ (สัมพัทธ์, คงที่ทุกไซส์ — เป็นสัดส่วนเดียวกัน)</t>
  </si>
  <si>
    <t>→ % ประหยัดวัสดุ เทียบงบโครงการรวม/ปี (ต่อเนื่องจากงบทั้งหมด)</t>
  </si>
  <si>
    <t>% ที่ลดลงได้ของโครงการ — Waste จากความเสี่ยง error ระดับวิศวกรรม/ถอดแบบ (Engineering Site)</t>
  </si>
  <si>
    <t>โอกาสเกิด error รุนแรง/โครงการ × ความเสียหาย (% ของงบ) — ก่อนใช้ Constistant (คงที่ทุกไซส์)</t>
  </si>
  <si>
    <t>Constistant ลดความเสี่ยงนี้ได้กี่% (Assumptions!B31)</t>
  </si>
  <si>
    <t>→ % งบโครงการที่ลด Waste จาก error ได้จริง (คงที่ทุกไซส์ — เป็นสัดส่วนเดียวกัน)</t>
  </si>
  <si>
    <t>ตรวจสอบด้วยมูลค่าจริงแต่ละไซส์ (จากแถว 22 ÷ แถว 36)</t>
  </si>
  <si>
    <t>% เวลาที่ลดได้ในการถอดแบบ/โครงการ (เทียบกับทำด้วยมือ)</t>
  </si>
  <si>
    <t>Constistant ทำงานเร็วกว่าถอดแบบด้วยมือกี่เท่า (Assumptions!B25)</t>
  </si>
  <si>
    <t>→ % เวลาที่ลดได้ต่อโครงการ (ชั่วโมงที่ประหยัด ÷ ชั่วโมงด้วยมือ — คงที่ทุกไซส์)</t>
  </si>
  <si>
    <t>ตรวจสอบด้วยชั่วโมงจริงแต่ละไซส์ (จากชีต Client sheet: ชั่วโมงประหยัด ÷ ชั่วโมงด้วยมือ)</t>
  </si>
  <si>
    <t>อัตราจับตลาดสะสมปีที่ 4 — Best (ย้อนกลับจากเป้ารายได้ 300 ล้านบาท — จุดเริ่ม เพิ่ม 2เท่า/ปีจนถึง 1,200M ที่ปี 6)</t>
  </si>
  <si>
    <t>สูตรย้อนกลับจากเป้ารายได้ 300,000,000 บาทปีที่ 4 (จุดเริ่มของ growth story ที่เพิ่ม 2เท่า/ปี → 1,200M ปี 6) — ต้องการ ~24.9% ของตลาดทั้งประเทศ — เป็น aspirational เชิงสูง ไม่ใช่ base case</t>
  </si>
  <si>
    <t>อัตราจับตลาดสะสมปีที่ 5 — Best (ย้อนกลับจาก 600 ล้านบาท = 2×ปีที่4)</t>
  </si>
  <si>
    <t>ต้องการ ~49.8% ของกลุ่มพร้อมดิจิทัลทั้งประเทศ — เกือบครึ่งหนึ่งของทั้งตลาด SME ก่อสร้างไทยที่พร้อมดิจิทัล — ไม่มีสตาร์ตอมโปรเจกทำเช่นนี้ได้ช้าขนาดนี้</t>
  </si>
  <si>
    <t>อัตราจับตลาดสะสมปีที่ 6 — Best (ย้อนกลับจาก 1,200 ล้านบาท = 4×ปีที่4)</t>
  </si>
  <si>
    <t>ต้องการ ~99.7% ของกลุ่มพร้อมดิจิทัลทั้งประเทศ (เกือบ monopoly) — การเลื่อนเป้าออกไปปี 6 ไม่ได้ทำให้ capture rate ที่ต้องการลดลง — ยังชนเพดานที่เดียวกันเหมือนเดิม เป็น aspirational ceiling เชิงสษาก ไม่ควรนำเสนอเป็น base case</t>
  </si>
  <si>
    <t>เทียบรายได้ปีที่ 4/5/6 (Best-case) — เติบโต 2 เท่า/ปี: 300M → 600M → 1,200M</t>
  </si>
  <si>
    <t>ลูกค้าสะสม Best (ราย)</t>
  </si>
  <si>
    <t>ปีที่ 5</t>
  </si>
  <si>
    <t>ปีที่ 6</t>
  </si>
  <si>
    <t>เทียบรายได้ปีที่ 4 — Worst / Base / Best (เป้า Best = 300 ล้านบาท จุดเริ่มเติบโต 2×/ปี → 1,200M ปี 6)</t>
  </si>
  <si>
    <t>เซลล์เทียบ: เป้า 300 ล้านบาท (Best-case ปีที่ 4) — ช่องห่างที่เหลือ</t>
  </si>
  <si>
    <t>เทียบรายได้ปีที่ 5 (Best-case, เป้า = 2×ปีที่4 = 600 ล้านบาท)</t>
  </si>
  <si>
    <t>ลูกค้าสะสมปีที่ 5 (ราย)</t>
  </si>
  <si>
    <t>รายได้ปีที่ 5</t>
  </si>
  <si>
    <t>เซลล์เทียบ: เป้า 600 ล้านบาท — ช่องห่างที่เหลือ</t>
  </si>
  <si>
    <t>เทียบรายได้ปีที่ 6 (Best-case, เป้า = 4×ปีที่4 = 1,200 ล้านบาท)</t>
  </si>
  <si>
    <t>ลูกค้าสะสมปีที่ 6 (ราย)</t>
  </si>
  <si>
    <t>รายได้ปีที่ 6</t>
  </si>
  <si>
    <t>เซลล์เทียบ: เป้า 1,200 ล้านบาท — ช่องห่างที่เหลือ</t>
  </si>
  <si>
    <t>ทีมงานปีที่ 5 (คน)</t>
  </si>
  <si>
    <t>สมมติฐานทีม — ขยายจาก 12 คนปีที่ 4 เพื่อรองรับลูกค้า~6,300 ราย</t>
  </si>
  <si>
    <t>ทีมงานปีที่ 6 (คน)</t>
  </si>
  <si>
    <t>สมมติฐานทีม — ขยายจาก 20 คนปีที่ 5 เพื่อรองรับลูกค้า~12,700 ราย</t>
  </si>
  <si>
    <t>ต้นทุนปีที่ 5/6 (Best-case, ทีมขยายตาม Assumptions!B84/B85)</t>
  </si>
  <si>
    <t>เทียบกำไรปีที่ 5/6 (Best-case) — ดูโครงสร้างเต็มที่ Business Model — Revenue แถว 21-29 และ Cost แถว 13-20</t>
  </si>
  <si>
    <t>รายได้</t>
  </si>
  <si>
    <t>กำไร</t>
  </si>
  <si>
    <t>ขนาดทีมที่สมมติฐานไว้จริง ปีที่ 4 (Assumptions!$B$79)</t>
  </si>
  <si>
    <t>ปีที่ 5/6 (Best-case)</t>
  </si>
  <si>
    <t>งบต้นทุนที่ยั่งยืนได้</t>
  </si>
  <si>
    <t>ขนาดทีมสูงสุดที่จ่ายไหว (คน)</t>
  </si>
  <si>
    <t>ขนาดทีมที่สมมติฐานไว้จริง</t>
  </si>
  <si>
    <t>DBD (Dept. of Business Development) — ผู้รับเหมาจดทะเบียนนิติบุคคลทั่วประเทศ ~80,000 ราย — market-sizing-assumptions-summary.md §1 (แก้ไขจากตัวเลขเดิม 108,000 ซึ่งไม่ตรงกับแหล่งอ้างอิงล่าสุด)</t>
  </si>
  <si>
    <t>99.93% ของผู้ประกอบการทั้งหมด (≈79,945 ราย) เป็น SME — ส่วนที่เหลือ 55 บริษัทขนาดใหญ่ (0.07%) ถือ ~50% ของรายได้อุตสาหกรรมรวม — market-sizing-assumptions-summary.md §1 (แก้ไขจากตัวเลขเดิม 95%)</t>
  </si>
  <si>
    <t>ตัวเลข Waste ระดับอุตสาหกรรม (อ้างอิงบริบท ไม่ใช่ตัวเลขที่ใช้คำนวณ ROI ลูกค้า — ดู B35/B37 สำหรับตัวเลขที่ขับเคลื่อนโมเดล)</t>
  </si>
  <si>
    <t>เศษเหล็กเสริมทั่วอุตสาหกรรมไทย (% ของปริมาณที่ออกแบบ)</t>
  </si>
  <si>
    <t>16.27% ของปริมาณที่ออกแบบ — market-sizing-assumptions-summary.md §2 (Table 2). ตัวเลขระดับอุตสาหกรรมทั่วไป ต่างจาก B35 (6.5%, เศษจากตัดมือของโครงการอ้างอิง researchA.md) เพราะวัดคนละฐาน (ออกแบบ vs สั่งซื้อ) — เก็บไว้เทียบบริบท ไม่ใช้แทน B35</t>
  </si>
  <si>
    <t>เศษคอนกรีตผสมเสร็จทั่วอุตสาหกรรมไทย (% ของปริมาณที่สั่งซื้อ)</t>
  </si>
  <si>
    <t>8.92% ของปริมาณที่สั่งซื้อ — market-sizing-assumptions-summary.md §2 (Table 2). ยังไม่มีการนำไปคำนวณ ROI คอนกรีตในโมเดลนี้ (โมเดลปัจจุบันโฟกัสเหล็กเสริมเป็นหลัก) — เก็บเป็นข้อมูลอ้างอิงสำหรับขยายโมเดลในอนาคต</t>
  </si>
  <si>
    <t>ตัวอย่างผลกระทบต้นทุนจริง: บ้าน ฿1.5M เสีย ~฿100,000 (~6.7%) จาก error ถอดแบบเหล็กเสริมอย่างเดียว</t>
  </si>
  <si>
    <t>market-sizing-assumptions-summary.md §2 (Table 2). สอดคล้องกับกรอบ 5-7% ที่ใช้ใน Assumptions!B30 (7.5%) — ยืนยันว่าอยู่ในช่วงที่สมเหตุสมผล</t>
  </si>
  <si>
    <t>PMF Precedent — BUILK (ผู้เล่น ConTech ไทยรายหลกเดิม) — ใช้เป็น sanity check สำหรับ churn/pricing model ของเรา</t>
  </si>
  <si>
    <t>สาเหตุหลักที่ BUILK ไม่โต mass adoption: (1) เก็บค่า cost-code เองทุกทรานซเกชัน (ทีม SME ไม่มีเวลา/ทักษะ) (2) โมเดลฟรี/โจมโฆษชนกลุ่มที่ churn สูง เนื่องจากไม่มี sunk cost (3) รอดได้ด้วยการปรับเป็น transaction-based (YELLO e-procurement, 2-4% cost saving/โครงการ) ไม่ใช่ subscription กับ back-office tool — market-sizing-assumptions-summary.md §3</t>
  </si>
  <si>
    <t>Constistant ตอบโจทย์ #1 โดยใช้ AI-extraction-first ("Drawing as Source of Truth") เพื่อตัดการเก็บข้อมูลเองกอนโดยไม่ต้องเป็น cost-code entry แต่ยังมี counter-risk ที่ต้องระวัง: แบบ SME ไทยมักเป็น scan/hand-drawn คุณภาพต่ำ อาจทำให้ AI misread เกิดข้อผิดได้ — market-sizing-assumptions-summary.md §3 (ข้อ 5)</t>
  </si>
  <si>
    <t>⚠️ กับดักซ้อนกลงโมเดลนี้ — อย่าใส่เลกเองโดยไม่มีข้อมูลจริงรองรับ: churn rate, conversion rate, ARPU จริง, willingness-to-pay ของ SME ไทย — เอกสารยืนยันซ้ำ: การขาดข้อมูลเหล่านี้สำหรับ Thai ConTech SaaS โดยเฌพาะ จนกว่าจะมีการตรวจสอบจริง (pilot/beta) — ห้ามเดาข้อมูลเหล่านี้โดยเด็ดขาด — market-sizing-assumptions-summary.md §5</t>
  </si>
  <si>
    <t>Togal.AI</t>
  </si>
  <si>
    <t>โลก (US)</t>
  </si>
  <si>
    <t>Per-seat SaaS Tiered</t>
  </si>
  <si>
    <t>$299/user/เดือน (Growth), Custom (Enterprise)</t>
  </si>
  <si>
    <t>ผู้รับเหมา/estimator ออกแบบอเมริกา/โลก</t>
  </si>
  <si>
    <t>Computer-vision takeoff อ้าง 98% accuracy (Univ. of Kansas เบนช์มาร์ก: ลดเวลา 76%) แต่ไม่มี localization ไทยเลย — อ่านโนเทชัน/หน่วยไทยไม่ได้ (@0.15ม., ค̑, พ̑) — market-sizing-assumptions-summary.md §4</t>
  </si>
  <si>
    <t>Beam AI (iBeam.ai)</t>
  </si>
  <si>
    <t>Quote-based</t>
  </si>
  <si>
    <t>ผู้รับเหมา/estimator</t>
  </si>
  <si>
    <t>PDF/spec extraction → Excel takeoff, human-in-loop QA, อ้าง 90% accuracy ไม่มี localization ไทย — market-sizing-assumptions-summary.md §4</t>
  </si>
  <si>
    <t>Rebar.shop</t>
  </si>
  <si>
    <t>โลก (ASTM/CSA เท่านั้น)</t>
  </si>
  <si>
    <t>Free AI + Transaction (material sale)</t>
  </si>
  <si>
    <t>อ่าน AI ฟรี — รายได้จากการขายเหล็ก (50% deposit model)</t>
  </si>
  <si>
    <t>ผู้ซื้อเหล็กเสริมอเมริกา/คานาดา</t>
  </si>
  <si>
    <t>AI อ่าน rebar shop drawings → BBS + ขายเหล็กตรง — เป็น precedent ที่ดีสำหรับ transaction-based pivot แบบ BUILK→YELLO แต่ไม่อ่านโนเทชันไทย — market-sizing-assumptions-summary.md §4</t>
  </si>
  <si>
    <t>CivilProMax (ไทย)</t>
  </si>
  <si>
    <t>Annual subscription</t>
  </si>
  <si>
    <t>฿1,050/ปี</t>
  </si>
  <si>
    <t>ผู้รับเหมาไทยที่ทำ structural calc เอง</t>
  </si>
  <si>
    <t>คำนวณ ACI/วสท. compliant + QTO, bilingual TH/EN — เป็นคู่แข่งไทยที่ใกล้เคียงที่สุดที่เจอ แต่ไม่อ่านโนเทชัน/หน่วยไทยเช่น @0.15ม., ไม่มี BBS ออกอัตโนมัติ — market-sizing-assumptions-summary.md §4</t>
  </si>
  <si>
    <t>Attentive.ai</t>
  </si>
  <si>
    <t>ตารางนี้เป็นข้อมูลอ้างอิงนิ่ง (ไม่ใช่สูตร) ยกเว้นแทว Constistant เองที่ยังดึงราคาจาก Assumptions — ที่มา: researchE.md §4 (ตารางราคา), researchB.md §1/§6 (ช่องว่างเชงแข่ง), market-sizing-assumptions-summary.md §4 (Togal.AI, Beam AI, Rebar.shop, CivilProMax)</t>
  </si>
  <si>
    <t>สรุป: คู่แข่งไทยราคาถูก (BUILK) ไม่มี AI ถอดแบบจริง · คู่แข่งเดียวในไทยที่ใกล้เคียงที่สุด (CivilProMax) ไม่อ่านโนเทชันไทย/ไม่มี BBS · คู่แข่ง AI ระดับโลก (Togal.AI, Beam AI, Attentive.ai) แพงระดับองค์กร/ไม่ผูกมาตรฐานไทย — ไม่มีเกมโลกหรือภูมิภาคที่อ่านโนเทชันโครงสร้างไทย (@0.15ม., ค̑, พ̑) — Constistant อยู่ตรงกลางที่ยังไม่มีใครเติมเต็ม: AI ถอดแบบจริง + อ่านโนเทชันโครงสร้างไทย (มยผ./วสท.) + ราคาที่ SME ไทยจ่ายไหว</t>
  </si>
  <si>
    <t>ผู้รับเหมา SME ที่เข้าถึงได้ (80,000 × %SME)</t>
  </si>
  <si>
    <t>อัปเดต 2026-09-02: แก้จำนวนผู้รับเหมาที่จดทะเป็น 80,000 ราย (จาก 108,000) และ SME% เป็น 99.93% (จาก 95%) เพิ่มตัวเลข waste ระดับอุตสาหกรรม (16.27% เหล็ก/8.92% คอนกรีต) และ BUILK PMF precedent ที่ Assumptions และ Competitors — ดู 2026-09-02-market-sizing-assumptions-summary.md เป็นแหล่งอ้างอิงหลัก</t>
  </si>
  <si>
    <t>AI Infra &amp; Unit Cost (COGS)</t>
  </si>
  <si>
    <t>ต้นทุนแปรผนตามเดียว (variable cost) ที่ขับเคลื่อนการตัดสินใจเรื่อง Cost Structure → Pricing Strategy — ทุกช่องเป็นสูตรอ้างอิง Assumptions เป็นหลัก ยกเว้นที่เขียนไว้ชัดเจนเป็นอื่น</t>
  </si>
  <si>
    <t>สิ่งที่ตัดสินใจ: สฐาปิกรรม AI แบบไหน</t>
  </si>
  <si>
    <t>โมเดล: Qwen-VL-Max ผ่าน API (Alibaba Cloud DashScope) — ไม่ใช้ self-host GPU ใน base case</t>
  </si>
  <si>
    <t>เหตุผล #1: หน่อยกว่า GPT-4o-class 6 เท่า</t>
  </si>
  <si>
    <t>Qwen-VL-Max = $0.41/ล้าน input tokens (Alibaba Cloud) vs GPT-4o = $2.50/ล้าน input + $10.00/ล้าน output tokens — Wikipedia: Qwen (อ้าง Alibaba Cloud pricing), OpenAI pricing docs</t>
  </si>
  <si>
    <t>เหตุผล #2: ไม่ต้องจอง hardware เผื่อ concurrent user — API scale ตาม request ไม่ใช่ตาม concurrency</t>
  </si>
  <si>
    <t>ต้นทุนเป็น variable cost ตามจำนวนหน้าแบบที่สแกนจรง ไม่ใช่ fixed cost ตามจำนวนลูกค้าออนไลน์พร้อมกัน — เป็นสิ่งสำคัญที่สุดสำหรับ scalability ของโมเดลนี้</t>
  </si>
  <si>
    <t>เหตุผล #3: SLA 5 นาที/โครงการ เป็นไปได้จรงด้วย API (ไม่ต้อง self-host)</t>
  </si>
  <si>
    <t>Inference ต่อหน้าใช้เวลาเพียงสูงวง่จนถึงสิบวินาที — เรียก API แบบ concurrent หลายหน้าในโครงการเดียวก็เสร็จภายใน 5 นาทีได้สบาย — สมมติฐานจาก API latency มาตรฐานของ vision LLM providers</t>
  </si>
  <si>
    <t>AI Infra — จำนวนหน้าแบบสแกนต่อโครงการ แยกตามไซส์ลูกค้า (B67 เป็นค่าเฉลี่ยรวม ใช้เป็นฐานสำหรับ Small)</t>
  </si>
  <si>
    <t>Medium — จำนวนหน้าแบบ/โครงการ (สเกตามสัดส่วนพื้นที่เทียบ Small)</t>
  </si>
  <si>
    <t>🟨 สมมติฐาน (สเกตามพื้นที่)</t>
  </si>
  <si>
    <t>สเกตะเส้นตรงจาก 50 หน้า/300ตร.ม. (B67/B39) — สมมติฐานทีม เนื่องจากไม่มีงานวิจัยเจาะจงเรื่องจำนวนหน้าแบบเทียบไซส์</t>
  </si>
  <si>
    <t>ใหญ่ — จำนวนหน้าแบบ/โครงการ (สเกตามสัดส่วนพื้นที่เทียบ Small)</t>
  </si>
  <si>
    <t>Self-Host GPU — สมมติฐาน breakeven (Forward-Looking Scenario — ไม่ใช้ใน base case ตอนนี้)</t>
  </si>
  <si>
    <t>ค่าเช่า GPU H20 node (ต่อชม.)</t>
  </si>
  <si>
    <t>USD/ชม.</t>
  </si>
  <si>
    <t>H20 GPU node ราคา ~$3-5/ชม. บน cloud providers — ใช้ค่ากลาง $4/ชม. — market research (eesel.ai Qwen pricing guide 2026)</t>
  </si>
  <si>
    <t>ต้นทุน AI (COGS) ต่อโครงการ และต่อลูกค้า/ปี — แยกตามไซส์ลูกค้า</t>
  </si>
  <si>
    <t>ที่มา/สูตร</t>
  </si>
  <si>
    <t>จำนวนหน้าแบบ/โครงการ (เฉลี่ย)</t>
  </si>
  <si>
    <t>Assumptions!B67 (Small=ฐาน), B98/B99 สเกตามสัดส่วนพื้นที่</t>
  </si>
  <si>
    <t>ต้นทุน AI ต่อหน้า (บาท/หน้า, Qwen-VL-Max)</t>
  </si>
  <si>
    <t>Assumptions!B66 — อ้างอิงจาก Qwen-VL-Max API rate ($0.41/M input tokens) + buffer สำหรับ output tokens/หน้าซับซ้อน</t>
  </si>
  <si>
    <t>→ ต้นทุน AI ต่อโครงการ (สูตร)</t>
  </si>
  <si>
    <t>จำนวนโครงการ/ปี ต่อ 1 ลูกค้า</t>
  </si>
  <si>
    <t>Assumptions!B43/B48/B53</t>
  </si>
  <si>
    <t>→ ต้นทุน AI ต่อลูกค้า/ปี (สูตร)</t>
  </si>
  <si>
    <t>กำไรขั้นต้น (Gross Margin) ต่อลูกค้า 1 ราย/ปี — เชื่อมต่อราคาเก็บจริง (Client — Summary)</t>
  </si>
  <si>
    <t>ราคา SaaS ที่เก็บ/ปี (รายได้)</t>
  </si>
  <si>
    <t>Client — Summary!B8:D8</t>
  </si>
  <si>
    <t>หัก: ต้นทุน AI (COGS) /ปี</t>
  </si>
  <si>
    <t>→ กำไรขั้นต้น หลัง AI COGS /ลูกค้า/ปี</t>
  </si>
  <si>
    <t>→ % Gross Margin หลัง AI COGS (ก่อนหัก hosting/team/CAC)</t>
  </si>
  <si>
    <t>ชี้เฉพาะต้นทุน AI — ยังไม่รวม hosting/team/CAC (ดูได้ที่ Cost Structure)</t>
  </si>
  <si>
    <t>Forward-Looking: Self-Host GPU Breakeven — เมื่อไหนจะคุ้มกว่าจ่าย API (ไม่ใช้ใน base case)</t>
  </si>
  <si>
    <t>ค่าเช่า GPU H20 node (Assumptions!B102)</t>
  </si>
  <si>
    <t>ค่าเช่า GPU/เดือน (24×30วัน, สมมติฐานว่าเปิดตลอด, อัตราแลกเบี้ยนหน้า/เดือน × 35 บาท)</t>
  </si>
  <si>
    <t>฿/เดือน</t>
  </si>
  <si>
    <t>สมมติฐานอัตราแลกเบี้ยน 35 บาท/USD — เป็นสมมติฐานทีม ปรับได้ตามอัตราแลกเปลี้ยนจริง</t>
  </si>
  <si>
    <t>→ จำนวนหน้าที่ต้องประมวลผล/เดือน เพื่อให้ self-host คุ้มกว่าจ่อย API (breakeven)</t>
  </si>
  <si>
    <t>หน้า/เดือน</t>
  </si>
  <si>
    <t>= ค่า GPU/เดือน ÷ ค่า API/หน้า (Assumptions!B66) — ต่อกว่านี้ self-host จำนวนหน้า/เดือน API ยังถูกกว่า</t>
  </si>
  <si>
    <t>→ เทียบเป็นจำนวนลูกค้า Small เท่ากี่ราย (ข้อมูลอ้างอิง เพื่อ intuition เชิงขนาด)</t>
  </si>
  <si>
    <t>ราย (เทียบเดือน)</t>
  </si>
  <si>
    <t>หากจำนวนลูกค้า Small ส่งหน้าสแกนน้อยกว่าเกณฑ์นี้ต่อเดือน ใช้ API ต่อไป จะกว่าหมดทุน self-host — สูงกว่า SOM ที่ขยีดสุดก็ยงเข้าได้ครอผล (ดู Market—TopDown) — สรุป: ไม่จำเป็นต้อง self-host ในช่วง 5-6 ปีข้างหน้า</t>
  </si>
  <si>
    <t>ลูกค้าสะสมปีที่ 3 ('Market — TopDown'!B15:D15)</t>
  </si>
  <si>
    <t>Pricing Strategy — ราคาที่ผ่านการ validate ด้วยต้นทุนจริง</t>
  </si>
  <si>
    <t>ตรวจสอบว่าราคาที่เก็บจริง (Client — Summary/Assumptions) คุ้มค่าเหนือต้นทุนจริงเท่าไหร เทียบกับคู่แข่ง และเทียบกับ ROI ที่ลูกค้าได้จริง</t>
  </si>
  <si>
    <t>1. Cost-Plus Check — ราคาเก็บจริง เทียบ AI COGS + ส่วนแบ่งต้นทุนคงที่</t>
  </si>
  <si>
    <t>ราคา SaaS ที่เก็บจริง/เดือน</t>
  </si>
  <si>
    <t>Assumptions!B55:B57</t>
  </si>
  <si>
    <t>ต้นทุน AI (COGS)/เดือน</t>
  </si>
  <si>
    <t>เฌลี่ยเท่ากับทุกไซส์ (เป็น fixed cost ส่วนกลาง) — เป็น simplification ทีม ยังไม่ได้ allocate ตามการใช้งานจริง</t>
  </si>
  <si>
    <t>→ ต้นทุนเต็ม/เดือน (AI COGS + ส่วนแบ่งคงที่)</t>
  </si>
  <si>
    <t>→ กำไรขั้นต้น/เดือน (ราคา − ต้นทุนเต็ม)</t>
  </si>
  <si>
    <t>→ % Margin ที่ราคานี้เหลือหลังหักทุกต้นทุนเต็ม (Full-Cost Margin)</t>
  </si>
  <si>
    <t>2. Value-Based Check — ROI ที่ลูกค้าได้จริง (Client — Summary)</t>
  </si>
  <si>
    <t>มูลค่าที่ลูกค้าได้รับ/ปี (เวลา+error+เศษเหล็ก)</t>
  </si>
  <si>
    <t>Client — Small/Medium/Large!B25</t>
  </si>
  <si>
    <t>ราคาที่เก็บ/ปี</t>
  </si>
  <si>
    <t>→ ROI ที่ลูกค้าได้ (มูลค่า ÷ ราคา)</t>
  </si>
  <si>
    <t>เกณฑ์ mental: หาก ROI &lt; 3x มีความเสี่ยงเรื่อง WTP เนื่องจากไม่มี survey จริง (ดู Assumptions — จุดเตือน)</t>
  </si>
  <si>
    <t>3. Competitive Benchmark (Competitors!D10:D14)</t>
  </si>
  <si>
    <t>CivilProMax (ไทย, ใกล้เคียงที่สุด)</t>
  </si>
  <si>
    <t>ชำระคนเดียว ไม่มี BBS ออกอีกหน้า — เราเก็บเป็นรายเดือนแต่สูงกว่าเยอะ—เหมาะสมเมื่อคนจ่ายต่อเดือนไม่หวงกับต้องจ่ายก้อนเต็มปีเหมือน CivilProMax</t>
  </si>
  <si>
    <t>Togal.AI (โลก, benchmark สำหรับ global player)</t>
  </si>
  <si>
    <t>$299/user/เดือน ≈ 10,465 บาท/เดือน (@35฿/$) — สูงกว่าราคาเรา 2–10 เท่า — เหมาะกับตลาด SME ไทยเพราะ SME จ่ายไหวกว่ามากไม่ได้</t>
  </si>
  <si>
    <t>→ ตำแหน่งราคา: สูงกว่า CivilProMax (เหมาะสม — เรามี BBS อื่นๆที่เขาไม่มี), ต่ำกว่า Togal.AI มาก (เป็นเหตุที่ทำให้ SME ไทยเข้าถึงได้)</t>
  </si>
  <si>
    <t>⚠️ Small segment ROI ≈ 1.0x — มูลค่าที่ลูกค้าได้เกือบเท่ากับราคาพอดี — ความเสี่ยงเรื่อง churn สูงกว่า Medium/ใหญ่ (5.1x/5.2x)</t>
  </si>
  <si>
    <t>สอดคล้องกับ BUILK precedent (Assumptions A92-95) — กลุ่ม micro-SME เป็นกลุ่มที่ churn สูงสุดเสมอ — เสนอ: พิจารณาลดราคา Small หรือเพิ่มมูลค่า (เช่น batchหลายเจ้าของ/เดือน) เพื่อเพิ่ม ROI — เป็นข้อเสนอองค์การ ไม่ใช่การเปลี่นราคาอัตโมติ</t>
  </si>
  <si>
    <t>Sustainability — Carbon Factors &amp; สมมติฐานทีม</t>
  </si>
  <si>
    <t>เหล็กเสรีม (rebar) — Embodied Carbon</t>
  </si>
  <si>
    <t>kgCO2e/kg</t>
  </si>
  <si>
    <t>CIDB Malaysia Embodied Carbon Inventory 2021 — "Reinforcing steel" 1.99 kgCO2e/kg — เป็นค่า industry-standard ที่อ้างอิงกันกว้างใน ICE database lineage</t>
  </si>
  <si>
    <t>คอนกรีต (ready-mix, มาตรฐาน) — Embodied Carbon</t>
  </si>
  <si>
    <t>เฉลี่ยจาก istructe.org UK guide (0.089-0.120 kgCO2e/kg ตาม % GGBS replacement) — ไม่มี Thai-specific EPD — ต้อง validate ก่อนใช้จริง</t>
  </si>
  <si>
    <t>ความหนาแน่นคอนกรีต (สำหรับแปลง m3→kg)</t>
  </si>
  <si>
    <t>kg/m3</t>
  </si>
  <si>
    <t>ค่ามาตรฐานความหนาแน่นคอนกรีตสด (~2,400 kg/m3)</t>
  </si>
  <si>
    <t>อีกเชนเหล็กเสรีมที่ใช้จริง/โครงการ (ทีมอง)</t>
  </si>
  <si>
    <t>% ลูกค้าเลือก mix คอนกรีตเป็นมนี้กว่า (GGBS-replacement) ผ่าน BOQ</t>
  </si>
  <si>
    <t>🟥 สมมติฐานทีม — ยังไม่มี survey/data จริง</t>
  </si>
  <si>
    <t>ไม่มีข้อมูล adoption จริงจากเอกสารวิจัย — เป็นสมมติฐานทีมสำหรับ sensitivity เซนซิทีฟ ต้อง validate ด้วย pilot/survey จริงก่อนอ้างเป็น fact</t>
  </si>
  <si>
    <t>% ลด CO2 เมื่อเลือก mix GGBS-replacement (เอedียบกับ mix องค์พื้น)</t>
  </si>
  <si>
    <t>🟥 สมมติฐานทีม (จากวรรกกรรม 15-40%)</t>
  </si>
  <si>
    <t>GGBS substitution literature ชี้ช่อง 15-40% CO2 reduction เมื่อเปลี่ยน mix — ใช้ค่ากลางอนุรักษ์นิยม 20% เป็นช่วงกลาง—ไม่ใช่ Thai-specific จนกว่าจะออก EPD ไทยจริง</t>
  </si>
  <si>
    <t>Planner — ลดเวลาก่อสร้าง/ลดความสูญเปล่าสุงจากการสั่งซื้อกะทันหัน</t>
  </si>
  <si>
    <t>% ลดเวลาก่อสร้างจากการวางแผนดีกว่า/สั่งซื้อตรงเวลา</t>
  </si>
  <si>
    <t>🟥 สมมติฐานทีม — ยังไม่มีข้อมูลจริง</t>
  </si>
  <si>
    <t>ไม่มีเอกสารวิจัยผูก planner feature กับ %ลดเวลาโดยตรง — เป็นสมมติฐานอนุรักษ์นิยมเพื้อ intuition เชิงขนาดเดียว — ต้องเก็บ data จำนวน sprint delay/reorder จริงเพื่อ validate</t>
  </si>
  <si>
    <t>เศษะวัสดุก่อสร้างจากการสั่งซื้อผิดจากแผนฌุกเฉิน (% ของการสำเหลือซื้อ)</t>
  </si>
  <si>
    <t>🟥 สมมติฐานทีม</t>
  </si>
  <si>
    <t>สมมติฐานอนุรักษ์นิยม — การสั่งซื้อผิดจากแผนที่ต้องแก้มักทีหลัง ทำให้เหลือกลายเป็นของเสีย — ต้อง validate</t>
  </si>
  <si>
    <t>ปริมาณคอนกรีตโดยประมาณ/พื้นที่ก่อสร้าง (อาคารพักอาศัย/พาณิชย์ทั่วไป)</t>
  </si>
  <si>
    <t>m3/ตร.ม.</t>
  </si>
  <si>
    <t>ค่าอนุรักษ์นิยมทั้วไปสำหรับอาคารโกดกำเพื้นบ้าน-อาคารน้อย — ไม่มี breakdown เฉพาะโครงการจากเอกสารวิจัย — ต้อง validate ก่อนใช้จริง</t>
  </si>
  <si>
    <t>Sustainability Impact — เทียบมูลค่าคาร์บอนที่ประหยัดได้จริง</t>
  </si>
  <si>
    <t>3 กลไกรของความยีนยง: (1) เหล็ก/BBS ออปติไมซ์ — สูตรอ้างจากการวดจรง (2) เลือกวัสดุคาร์บอนต่ำใน BOQ — 🟥 สมมติฐานทีม (3) Planner ลดเวลา/ความสูญเปล่า — 🟥 สมมติฐานทีม — มีเฉพาะเหล็ก/BBS เท่านั้นที่สอดคล้องกับการวัดจริงในระบบ อีก 2 กลไกเป็นสมมติฐานทีมชัดเจน—ชี้ช่องเพื่อ validate ช่องทางต่อไป ไม่ควรนำเสนอ ROI เป็น fact จนกว่าเก็บ data จริง</t>
  </si>
  <si>
    <t>1. เหล็ก/BBS Optimization → CO2 ที่ลดได้ 🟩 อ้างอิงจากสูตรที่มีอยู่จริง</t>
  </si>
  <si>
    <t>เสdียกเหล็กที่ลดได้/โครงการ (กก.) — เสdียกเหล็กมือ − กาลีวัน optimize จริง</t>
  </si>
  <si>
    <t>Client — Small/Medium/Large!B18−B20 (เสdียกเหล็กแบบมือ − หลัง optimize วัดจริง)</t>
  </si>
  <si>
    <t>→ CO2 ที่ลดได้/โครงการ (× 1.99 kgCO2e/kg)</t>
  </si>
  <si>
    <t>จำนวนโครงการ/ปี ต่อลูกค้า</t>
  </si>
  <si>
    <t>→ CO2 ที่ลดได้/ลูกค้า/ปี</t>
  </si>
  <si>
    <t>2. เลือกวัสดุคาร์บอนต่ำใน BOQ → CO2 ที่ลดได้ 🟥 สมมติฐานทีม — จำเป็นต้อง validate</t>
  </si>
  <si>
    <t>ปริมาณคอนกรีต/โครงการ (พื้นที่ × m3/ตร.ม.)</t>
  </si>
  <si>
    <t>Client!B6 (พื้นที่) × Assumptions!B111 🟥</t>
  </si>
  <si>
    <t>→ น้ำหนักคอนกรีต (× 2,400 kg/m3)</t>
  </si>
  <si>
    <t>× % ลูกค้าเลือก mix GGBS 🟥 (Assumptions!B109)</t>
  </si>
  <si>
    <t>× ค่า embodied carbon ของคอนกรีตมาตรฐาน 🟨 (Assumptions!B106)</t>
  </si>
  <si>
    <t>× % ลด CO2 เมื่อเลือก mix นี้ 🟥 (Assumptions!B110)</t>
  </si>
  <si>
    <t>→ CO2 ที่ลดได้/โครงการ (หากเลือก)</t>
  </si>
  <si>
    <t>3. Planner → ลดเวลาหน้างสิตงาน/ลดการสั่งซื้อซ้ำ → เศษอีกน้อยลง 🟥 สมมติฐานทีม — จำเป็นต้อง validate</t>
  </si>
  <si>
    <t>เหล็ก/คอนกรีตแบบมือที่เสียจากการสั่งซื้อผิดจากแผน (× %สำเหลือซื้อ × kgเสdียกเหล็กแบบมือ)</t>
  </si>
  <si>
    <t>เสdียกเหล็กแบบมือ (Client!B18) × %เศษจาก over-order 🟥</t>
  </si>
  <si>
    <t>→ CO2 ที่ลดได้จากการวางแผน/โครงการ</t>
  </si>
  <si>
    <t>เซตโดยตำกว่า เพื่อไม่เกินจรง — เน้นเชื่อมก่อสร้าง/เวลา(ดู Client tab) มากกว่า waste โดยตรง</t>
  </si>
  <si>
    <t>→ รวม CO2 ที่ลดได้ทั้นหมด — 3 Scenario ที่ปี 3 (Worst / Base / Best)</t>
  </si>
  <si>
    <t>CO2 ที่ลดได้/ลูกค้า/ปี (ผสม 3 กลไก, blended ทีก mix %)</t>
  </si>
  <si>
    <t>→ รวม CO2 ที่ลดได้ทั้งกลุ่มลูกค้า/ปี (kgCO2e)</t>
  </si>
  <si>
    <t>→ เทียบเป็นตนCO2 (หารด้วย 1,000)</t>
  </si>
  <si>
    <t>≈ เทียบเท่ากับต้นไม้โตโตสี่อีกิดคาร์บอนโดยประมาณ (÷ 21 kgCO2e/ต้น/ปี, US EPA)</t>
  </si>
  <si>
    <t>US EPA: ต้นไม้โตโตหนึ่งดูดซับ CO2 เฉลี่ย ~21 kg/ปี — เป็นสมมติฐานอ้างอิงมาตรฐานทั่วไป เพื่อให้ intuition เชิงขนาด</t>
  </si>
  <si>
    <t>5-Year Projection — สมมติฐานสำหรับส่วนต่อขยายปีที่ 5</t>
  </si>
  <si>
    <t>อัตราเติบโตลูกค้าปีที่ 4→5 (ใช้เหมือนกันทูก Scenario — จำลองเนื่องจาก Best-case โต 2×)</t>
  </si>
  <si>
    <t>Market — TopDown'!B34/D26 = 6361/3181 ≈ 2.0× (Best-case) — เราทำ Worst/Base โตเท่ากันเพื่อซมมติฐาน conservative — ควหน้า review หลังมี traction จริง</t>
  </si>
  <si>
    <t>5-Year Financial Projection — Worst / Base / Best</t>
  </si>
  <si>
    <t>ลูกค้า (Market — TopDown) × ARPU (Client — Summary) − ต้นทุน (Cost Structure, AI Infra) = กำไร—ทุกช่องเป็นสูตรอ้างอิง ปี 4-5 ขยายด้วยอัตราเติบโต 🟥 (Assumptions!B117)</t>
  </si>
  <si>
    <t>ลูกค้าสะสม (ราย)</t>
  </si>
  <si>
    <t>ปี 1</t>
  </si>
  <si>
    <t>ปี 2</t>
  </si>
  <si>
    <t>ปี 3</t>
  </si>
  <si>
    <t>ปี 4</t>
  </si>
  <si>
    <t>ปี 5</t>
  </si>
  <si>
    <t>Yr1-3='Market—TopDown'!B13:B15, Yr4=B26, Yr5=Yr4×2x 🟥</t>
  </si>
  <si>
    <t>⚠️ ปี 4 กระโดดขึ้นเพราะ Market—TopDown เปลี่ยนฐานการคำนวณเป็น 'SME ทีเข้าถึงได้จริงทั้งประเทศ' (ขยายจาก BMR+6 จังหวัด) — เป็น modeling choice เดีมของชีต ไม่ได้เปลี่ยน</t>
  </si>
  <si>
    <t>รายได้ (ARR, บาท)</t>
  </si>
  <si>
    <t>ลูกค้า × ARPU ที่ถ่วงน้ำหนัก (Client—Summary!E8 Yr1-3, E17 Yr4-5 — ขยายทั้งประเทศ ARPU สูงกว่า)</t>
  </si>
  <si>
    <t>ต้นทุนรวม (AI COGS + Fixed, บาท)</t>
  </si>
  <si>
    <t>Yr1-3: AI COGS(blended)+flat team/hosting/overhead+CAC×ลูกค้าใหม่. Yr4-5: ใช้อัตรา fixed-cost/ลูกค้าที่ปี 3 (Base) เพื่อสเกตหลังเลิก fixed-team-flat — 🟥 สมมติฐาน scale-up team ต้อง revisit</t>
  </si>
  <si>
    <t>→ กำไรขั้นต้น (รายได้ − ต้นทุนรวม, บาท)</t>
  </si>
  <si>
    <t>→ % Net Margin (Base case)</t>
  </si>
  <si>
    <t>LTV:CAC (Base case, สมมติฐาน avg customer lifetime 3ปี)</t>
  </si>
  <si>
    <t>LTV=ARPU×3ปี(🟥สมมติฐานทีม—ไม่มี churn data จริง), CAC=Assumptions!B68 — คนหาจีดี SaaS benchmark คือ &gt;3x</t>
  </si>
  <si>
    <t>Constistant — Investor Dashboard</t>
  </si>
  <si>
    <t>สรุปตัวเลกสำหรับนักลงทุน — ทุกช่องเป็นสูตรอ้างอิง คลิกเลขใดๆเพื่อดูที่มาจริง</t>
  </si>
  <si>
    <t>1. ราคา &amp; ROI ที่ลูกค้าได้จริง ต่อไซส์</t>
  </si>
  <si>
    <t>Blended</t>
  </si>
  <si>
    <t>ราคา SaaS (บาท/เดือน)</t>
  </si>
  <si>
    <t>Client — Summary!B12:E12</t>
  </si>
  <si>
    <t>ROI ที่ลูกค้าได้ (มูลค่า ÷ ราคา)</t>
  </si>
  <si>
    <t>⚠️ Small ≈ 1.0x — ดู Pricing Strategy!A18 สำหรับคำเตือน</t>
  </si>
  <si>
    <t>AI COGS Gross Margin (หลังหักเฉพาะต้นทุน AI)</t>
  </si>
  <si>
    <t>AI Infra — Unit Cost!B23:D23 — ยังไม่รวม team/hosting/CAC</t>
  </si>
  <si>
    <t>2. ลูกค้าสะสม &amp; รายได้ — 5 ปี (Base Case)</t>
  </si>
  <si>
    <t>→ รายได้ (ARR, บาท)</t>
  </si>
  <si>
    <t>→ % Net Margin</t>
  </si>
  <si>
    <t>ต้นปี 3 เทียบ 3 Scenario (ลูกค้า/รายได้, ARR)</t>
  </si>
  <si>
    <t>ลูกค้า / รายได้</t>
  </si>
  <si>
    <t>3. มูลค่าที่ส่งหน้าการให้ลูกค้า (Product Value &amp; Time Saved)</t>
  </si>
  <si>
    <t>ชม.ที่ประหยัดได้/โครงการ (จากการถอดแบบ)</t>
  </si>
  <si>
    <t>มูลค่ารวม/ลูกค้า/ปี (เวลา+error+เศษเหล็ก)</t>
  </si>
  <si>
    <t>4. Sustainability Impact (Year 3, tCO2e/ปี)</t>
  </si>
  <si>
    <t>CO2 ที่ลดได้/ปี (ต้น)</t>
  </si>
  <si>
    <t>≈ เทียบเท่ากับต้นไม้ (ต้น)</t>
  </si>
  <si>
    <t>🟩 Metric 1 (เหล็ก/BBS) สอดคล้องเต็ม — Metric 2-3 (เลือกวัสดุ/Planner) 🟥 ยังเป็นสมมติฐานทีม — ดู Sustainability Impact</t>
  </si>
  <si>
    <t>5. ข้อสำคัญสำหรับนักลงทุน (Key Flags)</t>
  </si>
  <si>
    <t>⚠️ Small-segment ROI ≈ 1.0x — กำไรที่เหลือหลังหัก AI COGS อยู่เกือบ 100% แต่มูลค่าที่ลูกค้าได้เกือบเท่ากับราคาเพาะ — ดู Pricing Strategy</t>
  </si>
  <si>
    <t>⚠️ SOM, Churn, Conversion, Willingness-to-Pay — ไม่มี survey/data จริงสำหรับตลาด Thai ConTech (BUILK precedent — ดู Assumptions!A92-95)</t>
  </si>
  <si>
    <t>⚠️ Sustainability metrics 2-3 (เลือกวัสดุ/Planner) เป็นสมมติฐานทีม — ต้องมี pilot data ก่อนเสนอเป็น fact ชี้ขาด</t>
  </si>
  <si>
    <t>⚠️ LTV:CAC = 78.6x — สูงเกินความปกติเนื่องจากสมมติฐาน lifetime 3ปี โดยไม่มี churn data — ต้องเก็บ data จริงมา revalidate</t>
  </si>
  <si>
    <t>GTM Bottom-Up — เครื่องจำลองการทำ (แทนที่ %capture แบบ flat เดีม) 🟥 สมมติฐานทีมทั้งหมด — ยังไม่มี sales data จริง</t>
  </si>
  <si>
    <t>ที่มา/เหตุผล</t>
  </si>
  <si>
    <t>Sales rep — ปีที่ 1</t>
  </si>
  <si>
    <t>Worst=founderเดี่ว ไม่มีงบจ้างเพิ่ม — Best=มีเงินทุนจ้างเร็ว</t>
  </si>
  <si>
    <t>Sales rep — ปีที่ 2</t>
  </si>
  <si>
    <t>Sales rep — ปีที่ 3</t>
  </si>
  <si>
    <t>Leads/rep/เดือน (outbound+referral)</t>
  </si>
  <si>
    <t>สะท้อนหน้าตัด channel effectiveness — Best มี partnership/referral แกร่งกว่า</t>
  </si>
  <si>
    <t>Lead → Customer close rate</t>
  </si>
  <si>
    <t>สะท้อน product-market fit และ trust barrier (BUILK precedent) — Worst=frictionสูง Best=executionดี</t>
  </si>
  <si>
    <t>Churn rate/ปี (สูญเสียลูกค้าเก่า)</t>
  </si>
  <si>
    <t>Worst=frictionสูงเหมือน BUILK — Best=onboarding/productดีกว่า เก็บลูกค้าได้ดีกว่า — ไม่มี churn data จริง</t>
  </si>
  <si>
    <t>GTM — Bottom-Up Sales Funnel (แหล่งจริงของ Worst/Base/Best)</t>
  </si>
  <si>
    <t>เหล้าเดียวกัน: จำนวน sales rep × leads/rep/เดือน × close rate = ลูกค้าใหม่/ปี — หักลูกค้าเก่าที่ churn ออก → สะสมสุดเป็นลูกค้าสะสมที่ป้อนเข้า Market—TopDown</t>
  </si>
  <si>
    <t>Worst Case</t>
  </si>
  <si>
    <t>สูตร</t>
  </si>
  <si>
    <t>Sales reps</t>
  </si>
  <si>
    <t>Assumptions!B121:B123</t>
  </si>
  <si>
    <t>Leads/rep/เดือน</t>
  </si>
  <si>
    <t>Close rate</t>
  </si>
  <si>
    <t>คงเหลือจากปีก่อน หลัง churn</t>
  </si>
  <si>
    <t>Churn rate/ปี</t>
  </si>
  <si>
    <t>→ ลูกค้าสะสม (คงเหลือ + ใหม่)</t>
  </si>
  <si>
    <t>Base Case</t>
  </si>
  <si>
    <t>→ ลูกค้าสะสม</t>
  </si>
  <si>
    <t>Best Case</t>
  </si>
  <si>
    <t>ลูกค้าที่จับได้ (SOM) — จาก GTM — Bottom-Up (เหล้าจำนวน sales rep × leads × close rate − churn) เปลี่ยนจาก flat %capture เดีม</t>
  </si>
  <si>
    <t>Cost Structure — 3 Scenario × 5 ปี (ไม่มี dropdown — เห็นทุก Scenario เคียงกันตลอด)</t>
  </si>
  <si>
    <t>ทุกแทบเป็นสูตรอ้างอิงโดยตรง — Worst/Base/Best เป็น 3 แทวแยกกันชัดเจน ไม่ต้องสลับ dropdown เพื่อดู</t>
  </si>
  <si>
    <t>1. ลูกค้าสะสม (ราย) — Y1-3 จาก Market—TopDown, Y4-5 จาก nationwide expansion</t>
  </si>
  <si>
    <t>Scenario</t>
  </si>
  <si>
    <t>Market—TopDown!B13:B15,B26 + ×2.0x Y5 (Assumptions!B117 🟥)</t>
  </si>
  <si>
    <t>2. AI COGS/ปี (blended ทีก mix % จาก AI Infra — Unit Cost)</t>
  </si>
  <si>
    <t>ทีมงาน+Hosting+Overhead เหมาเหมือน (flat, ทุก Scenario ก่อน Y4-5) = Assumptions!B63×B64×12 + B65×12 + B69×12</t>
  </si>
  <si>
    <t>3. ต้นทุนคงที่+CAC/ปี (Y1-3=flat+CAC ตามลูกค้าใหม่, Y4-5=scale ตาม ratio ของ scenarioเอง)</t>
  </si>
  <si>
    <t>Y4-5: ทีมงาน scale ตามอัตราส่วนลูกค้าของ scenarioเดียวกัน (ไม่ข้อง dropdown) 🟥</t>
  </si>
  <si>
    <t>4. → รวมต้นทุนบริษัททั้นหมด/ปี (AI COGS + Fixed+CAC)</t>
  </si>
  <si>
    <t>ส่วนแบ่งต้นทุนคงที่/เดือน (จาก Cost Structure, Base Case ปี 3)</t>
  </si>
  <si>
    <t>❌ เลิกเลิก (retired) — กลไก capture-rate แบบ flat เดีม (0.5%/1.5%/4%) เลิกใช้แล้ว — จำนวนลูกค้าจริงคำนวณจาก GTM—Bottom-Up (B119-126) โดยตรง — เห็นทุก Scenario เป็นชีตต่อกันแล้ว (ไม่ต้อง dropdown)</t>
  </si>
  <si>
    <t>⚪ เหลือไว้เป็น label เฉยๆ — ไม่ขับเคลื่อนสูตรไหนแล้ว — ทุกชีต (Cost Structure, 5-Year Projection, Dashboard) แสดง Worst/Base/Best เคียงกันเสมอ ไม่ต้องสลับ</t>
  </si>
  <si>
    <t>GTM Phasing — Small-first, ค่อยขยายไป Medium/ใหญ่ตามเทคโนโลยีที่เติบโต 🟥 สมมติฐานทีมทั้นหมด</t>
  </si>
  <si>
    <t>Small — ราคา launch ช่วงเข้าตลาด (ปี 1-2, ถูก+เข้าถึงง่าย)</t>
  </si>
  <si>
    <t>ลดจาก 5,000฿ (B55) ~40% เป็นราคาเจาะตลาดเพื่อสร้าง beachhead — ยัง &gt; AI COGS/เดือน (~94฿) จำงมี unit gross margin บวก</t>
  </si>
  <si>
    <t>Small — ราคาหลังปี 3 (กลับสู่มูลค่าสะสม = Assumptions!B55)</t>
  </si>
  <si>
    <t>สัดส่วนลูกค้าตามปี (Small-first → ค่อยกระจำหลักสู่ Medium/ใหญ่)</t>
  </si>
  <si>
    <t>Small %</t>
  </si>
  <si>
    <t>Medium %</t>
  </si>
  <si>
    <t>ใหญ่ %</t>
  </si>
  <si>
    <t>ปี 1-2 🟥 ขยาย beachhead ด้วย Small ก่อน — ปี 3 เก็บเท่าสู่มูลค่าสะสมเดีม (B59:B61) — ปี 4-5 ขยับสู่ Medium/ใหญ่มากขึ้นเมื่อ AI เก่งขึ้นรองรับงานซับซ้อนได้</t>
  </si>
  <si>
    <t>Blended ARPU ตามปี (Small-first phasing — Assumptions!B129/B132:F135)</t>
  </si>
  <si>
    <t>Small ราคา/เดือน (launch Y1-2, หลังจากนั้น)</t>
  </si>
  <si>
    <t>Mix Small/Medium/ใหญ่ %</t>
  </si>
  <si>
    <t>→ Blended ARPU/เดือน (ช่วงนั้น)</t>
  </si>
  <si>
    <t>→ Blended ARPU/ปี (×12)</t>
  </si>
  <si>
    <t>Channel 2: Digital Marketing / Self-Serve Signup (Small-tier, low-touch) 🔥 ช่องที่สอง — สเกตามช่อง marketing ไม่ต้องผูกกับ sales rep headcount</t>
  </si>
  <si>
    <t>Leads/เดือน (organic content + ads + referral — ไม่ผ่าน sales rep)</t>
  </si>
  <si>
    <t>Self-serve signup → paid conversion rate</t>
  </si>
  <si>
    <t>ต่ำกว่า close rate ของ sales rep เหมือนกัน — เป็น self-serve จะมี leakage มากกว่าเสมอเตียบ sales-touch — SME ไทยคุ้นเคยกับ self-serve SaaS น้อย</t>
  </si>
  <si>
    <t>Channel 2 (Self-Serve) — เพิ่มเหนือ Channel 1 — เหชนเดือนคือสเกตอิสระคียกำงกับ Small เดียว</t>
  </si>
  <si>
    <t>Leads/เดือน (marketing)</t>
  </si>
  <si>
    <t>Signup → paid conversion</t>
  </si>
  <si>
    <t>→ ลูกค้าใหม่/ปี จาก self-serve (leads×12×conversion)</t>
  </si>
  <si>
    <t>→ ลูกค้าใหม่/ปี (Channel 1: sales rep + Channel 2: self-serve)</t>
  </si>
  <si>
    <t>🔥 สมมติฐานทีม — กำหนดเป้าเพื่อให้ Base Year1 &gt; 1,000 รายตามเป้าชัด — ต้องมี paid ads/viral campaign จริงเป็นกอปตินี้ (~3,000 สนใจ/เดือน = สูงกว่าโทราฟิกที่สเกตอะช่องทางปกติมาก — จำเป็นต้อง validate ด้วย pilot campaign จริงก่อน</t>
  </si>
  <si>
    <t>ลูกค้าสะสมปีที่ 4 = ปี 3 × อัตราเติบโต (Assumptions!B117) — ต่อเนื่อง GTM engine เดียวกัน ไม่สลับไปใช้สมมติฐานขยายที่ตัดกันแล้ว</t>
  </si>
  <si>
    <t>✅ UPDATE: เพื่อ self-serve leads สนเทียงชัดเจนเพื่อ Base Year1 &gt; 1,000 ราย (=1,086) — แก้ Year4 growth เดีมด้วย (เคย nationwide-expansion แยกจาก GTM engine ทำให้ลูกค้าลดลง Year3→4 และต้นทุนติดลบ) — ตอนนี้ Year4-5 = Year3 × เติบโตติดกันด้วย GTM engine เดียวกัน — Net Margin ทุกปี~81-91% — 🔥 self-serve leads/conversion เป็นสมมติฐานทีมทั้นหมด ยังไม่มี marketing pilot จริงรองรับ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</si>
</sst>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87" formatCode="0.0%"/>
    <numFmt numFmtId="188" formatCode="#,##0.0"/>
    <numFmt numFmtId="189" formatCode="0.000"/>
    <numFmt numFmtId="190" formatCode="#,##0&quot; ฿&quot;"/>
    <numFmt numFmtId="191" formatCode="0.0"/>
    <numFmt numFmtId="192" formatCode="0.0&quot;x&quot;"/>
    <numFmt numFmtId="193" formatCode="0.000%"/>
    <numFmt numFmtId="194" formatCode="&quot;฿&quot;#,##0.00"/>
    <numFmt numFmtId="195" formatCode="0.00&quot; ฿&quot;"/>
    <numFmt numFmtId="196" formatCode="#,##0&quot; kgCO2e&quot;"/>
    <numFmt numFmtId="197" formatCode="#,##0&quot; m3&quot;"/>
    <numFmt numFmtId="198" formatCode="#,##0&quot; kg&quot;"/>
    <numFmt numFmtId="199" formatCode="#,##0.0&quot; tCO2e&quot;"/>
    <numFmt numFmtId="200" formatCode="#,##0&quot; ต้น&quot;"/>
  </numFmts>
  <fonts count="21" x14ac:knownFonts="1">
    <font>
      <sz val="11"/>
      <color theme="1"/>
      <name val="Tahoma"/>
      <family val="2"/>
      <scheme val="minor"/>
    </font>
    <font>
      <b/>
      <sz val="14"/>
      <color rgb="FF1F3864"/>
      <name val="Calibri"/>
    </font>
    <font>
      <i/>
      <sz val="9"/>
      <color rgb="FF666666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name val="Calibri"/>
    </font>
    <font>
      <b/>
      <sz val="16"/>
      <color rgb="FF1F3864"/>
      <name val="Calibri"/>
    </font>
    <font>
      <sz val="11"/>
      <name val="Calibri"/>
    </font>
    <font>
      <b/>
      <sz val="11"/>
      <color theme="1"/>
      <name val="Tahoma"/>
      <family val="2"/>
      <scheme val="minor"/>
    </font>
    <font>
      <b/>
      <sz val="11"/>
      <color rgb="FFFFFFFF"/>
      <name val="Tahoma"/>
      <family val="2"/>
      <scheme val="minor"/>
    </font>
    <font>
      <i/>
      <sz val="11"/>
      <color rgb="FF666666"/>
      <name val="Tahoma"/>
      <family val="2"/>
      <scheme val="minor"/>
    </font>
    <font>
      <i/>
      <sz val="11"/>
      <color rgb="FFFF0000"/>
      <name val="Tahoma"/>
      <family val="2"/>
      <scheme val="minor"/>
    </font>
    <font>
      <b/>
      <sz val="11"/>
      <color rgb="FFFF0000"/>
      <name val="Tahoma"/>
      <family val="2"/>
      <scheme val="minor"/>
    </font>
    <font>
      <i/>
      <sz val="11"/>
      <color theme="1"/>
      <name val="Tahoma"/>
      <family val="2"/>
      <scheme val="minor"/>
    </font>
    <font>
      <i/>
      <sz val="9"/>
      <color theme="1"/>
      <name val="Tahoma"/>
      <family val="2"/>
      <scheme val="minor"/>
    </font>
    <font>
      <b/>
      <sz val="10"/>
      <color rgb="FFFF0000"/>
      <name val="Tahoma"/>
      <family val="2"/>
      <scheme val="minor"/>
    </font>
    <font>
      <b/>
      <sz val="12"/>
      <color rgb="FFFFFFFF"/>
      <name val="Tahoma"/>
      <family val="2"/>
      <scheme val="minor"/>
    </font>
    <font>
      <sz val="11"/>
      <color rgb="FF9C0006"/>
      <name val="Tahoma"/>
      <family val="2"/>
      <scheme val="minor"/>
    </font>
    <font>
      <b/>
      <sz val="11"/>
      <color rgb="FF9C0006"/>
      <name val="Tahoma"/>
      <family val="2"/>
      <scheme val="minor"/>
    </font>
    <font>
      <b/>
      <sz val="18"/>
      <color rgb="FF1F3864"/>
      <name val="Calibri"/>
    </font>
    <font>
      <b/>
      <sz val="11"/>
      <color rgb="FF006100"/>
      <name val="Tahoma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6" fillId="0" borderId="0" xfId="0" applyFont="1"/>
    <xf numFmtId="0" fontId="7" fillId="0" borderId="0" xfId="0" applyFont="1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 wrapText="1"/>
    </xf>
    <xf numFmtId="0" fontId="4" fillId="3" borderId="0" xfId="0" applyFont="1" applyFill="1"/>
    <xf numFmtId="0" fontId="0" fillId="3" borderId="0" xfId="0" applyFill="1"/>
    <xf numFmtId="3" fontId="0" fillId="4" borderId="1" xfId="0" applyNumberFormat="1" applyFill="1" applyBorder="1"/>
    <xf numFmtId="187" fontId="0" fillId="4" borderId="1" xfId="0" applyNumberFormat="1" applyFill="1" applyBorder="1"/>
    <xf numFmtId="187" fontId="0" fillId="5" borderId="1" xfId="0" applyNumberFormat="1" applyFill="1" applyBorder="1"/>
    <xf numFmtId="0" fontId="0" fillId="5" borderId="1" xfId="0" applyFill="1" applyBorder="1"/>
    <xf numFmtId="10" fontId="0" fillId="5" borderId="1" xfId="0" applyNumberFormat="1" applyFill="1" applyBorder="1"/>
    <xf numFmtId="10" fontId="0" fillId="0" borderId="1" xfId="0" applyNumberFormat="1" applyBorder="1"/>
    <xf numFmtId="188" fontId="0" fillId="4" borderId="1" xfId="0" applyNumberFormat="1" applyFill="1" applyBorder="1"/>
    <xf numFmtId="189" fontId="0" fillId="4" borderId="1" xfId="0" applyNumberFormat="1" applyFill="1" applyBorder="1"/>
    <xf numFmtId="3" fontId="0" fillId="5" borderId="1" xfId="0" applyNumberFormat="1" applyFill="1" applyBorder="1"/>
    <xf numFmtId="2" fontId="0" fillId="4" borderId="1" xfId="0" applyNumberFormat="1" applyFill="1" applyBorder="1"/>
    <xf numFmtId="190" fontId="0" fillId="4" borderId="1" xfId="0" applyNumberFormat="1" applyFill="1" applyBorder="1"/>
    <xf numFmtId="191" fontId="0" fillId="0" borderId="1" xfId="0" applyNumberFormat="1" applyBorder="1"/>
    <xf numFmtId="190" fontId="0" fillId="5" borderId="1" xfId="0" applyNumberFormat="1" applyFill="1" applyBorder="1"/>
    <xf numFmtId="2" fontId="0" fillId="5" borderId="1" xfId="0" applyNumberFormat="1" applyFill="1" applyBorder="1"/>
    <xf numFmtId="3" fontId="0" fillId="0" borderId="0" xfId="0" applyNumberFormat="1"/>
    <xf numFmtId="3" fontId="0" fillId="0" borderId="1" xfId="0" applyNumberFormat="1" applyBorder="1"/>
    <xf numFmtId="190" fontId="0" fillId="0" borderId="1" xfId="0" applyNumberFormat="1" applyBorder="1"/>
    <xf numFmtId="192" fontId="0" fillId="0" borderId="1" xfId="0" applyNumberFormat="1" applyBorder="1"/>
    <xf numFmtId="3" fontId="5" fillId="0" borderId="1" xfId="0" applyNumberFormat="1" applyFont="1" applyBorder="1"/>
    <xf numFmtId="190" fontId="5" fillId="0" borderId="1" xfId="0" applyNumberFormat="1" applyFont="1" applyBorder="1"/>
    <xf numFmtId="192" fontId="5" fillId="0" borderId="1" xfId="0" applyNumberFormat="1" applyFont="1" applyBorder="1"/>
    <xf numFmtId="187" fontId="0" fillId="0" borderId="1" xfId="0" applyNumberFormat="1" applyBorder="1"/>
    <xf numFmtId="0" fontId="5" fillId="0" borderId="0" xfId="0" applyFont="1"/>
    <xf numFmtId="0" fontId="0" fillId="0" borderId="1" xfId="0" applyBorder="1" applyAlignment="1">
      <alignment vertical="top" wrapText="1"/>
    </xf>
    <xf numFmtId="0" fontId="5" fillId="4" borderId="0" xfId="0" applyFont="1" applyFill="1"/>
    <xf numFmtId="0" fontId="5" fillId="4" borderId="1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8" fillId="0" borderId="0" xfId="0" applyFont="1"/>
    <xf numFmtId="0" fontId="8" fillId="6" borderId="0" xfId="0" applyFont="1" applyFill="1"/>
    <xf numFmtId="187" fontId="0" fillId="7" borderId="0" xfId="0" applyNumberFormat="1" applyFill="1"/>
    <xf numFmtId="10" fontId="0" fillId="7" borderId="0" xfId="0" applyNumberFormat="1" applyFill="1"/>
    <xf numFmtId="3" fontId="0" fillId="7" borderId="0" xfId="0" applyNumberFormat="1" applyFill="1"/>
    <xf numFmtId="190" fontId="8" fillId="0" borderId="0" xfId="0" applyNumberFormat="1" applyFont="1"/>
    <xf numFmtId="0" fontId="3" fillId="8" borderId="0" xfId="0" applyFont="1" applyFill="1" applyAlignment="1">
      <alignment horizontal="center" wrapText="1"/>
    </xf>
    <xf numFmtId="190" fontId="0" fillId="0" borderId="0" xfId="0" applyNumberFormat="1"/>
    <xf numFmtId="0" fontId="9" fillId="8" borderId="0" xfId="0" applyFont="1" applyFill="1" applyAlignment="1">
      <alignment horizontal="center"/>
    </xf>
    <xf numFmtId="0" fontId="10" fillId="0" borderId="0" xfId="0" applyFont="1"/>
    <xf numFmtId="190" fontId="11" fillId="0" borderId="0" xfId="0" applyNumberFormat="1" applyFont="1"/>
    <xf numFmtId="190" fontId="2" fillId="0" borderId="0" xfId="0" applyNumberFormat="1" applyFont="1"/>
    <xf numFmtId="187" fontId="0" fillId="0" borderId="0" xfId="0" applyNumberFormat="1"/>
    <xf numFmtId="10" fontId="12" fillId="9" borderId="0" xfId="0" applyNumberFormat="1" applyFont="1" applyFill="1"/>
    <xf numFmtId="3" fontId="13" fillId="0" borderId="0" xfId="0" applyNumberFormat="1" applyFont="1"/>
    <xf numFmtId="187" fontId="8" fillId="0" borderId="0" xfId="0" applyNumberFormat="1" applyFont="1"/>
    <xf numFmtId="10" fontId="8" fillId="0" borderId="0" xfId="0" applyNumberFormat="1" applyFont="1"/>
    <xf numFmtId="187" fontId="0" fillId="10" borderId="0" xfId="0" applyNumberFormat="1" applyFill="1"/>
    <xf numFmtId="10" fontId="0" fillId="0" borderId="0" xfId="0" applyNumberFormat="1"/>
    <xf numFmtId="193" fontId="8" fillId="0" borderId="0" xfId="0" applyNumberFormat="1" applyFont="1"/>
    <xf numFmtId="193" fontId="0" fillId="0" borderId="0" xfId="0" applyNumberFormat="1"/>
    <xf numFmtId="193" fontId="13" fillId="0" borderId="0" xfId="0" applyNumberFormat="1" applyFont="1"/>
    <xf numFmtId="192" fontId="0" fillId="0" borderId="0" xfId="0" applyNumberFormat="1"/>
    <xf numFmtId="187" fontId="13" fillId="0" borderId="0" xfId="0" applyNumberFormat="1" applyFont="1"/>
    <xf numFmtId="0" fontId="0" fillId="6" borderId="0" xfId="0" applyFill="1"/>
    <xf numFmtId="0" fontId="0" fillId="10" borderId="0" xfId="0" applyFill="1"/>
    <xf numFmtId="10" fontId="0" fillId="10" borderId="0" xfId="0" applyNumberFormat="1" applyFill="1"/>
    <xf numFmtId="0" fontId="14" fillId="0" borderId="0" xfId="0" applyFont="1"/>
    <xf numFmtId="0" fontId="15" fillId="0" borderId="0" xfId="0" applyFont="1"/>
    <xf numFmtId="0" fontId="0" fillId="0" borderId="0" xfId="0" applyAlignment="1">
      <alignment vertical="top" wrapText="1"/>
    </xf>
    <xf numFmtId="0" fontId="16" fillId="8" borderId="0" xfId="0" applyFont="1" applyFill="1"/>
    <xf numFmtId="0" fontId="0" fillId="8" borderId="0" xfId="0" applyFill="1"/>
    <xf numFmtId="0" fontId="0" fillId="7" borderId="0" xfId="0" applyFill="1"/>
    <xf numFmtId="194" fontId="0" fillId="10" borderId="0" xfId="0" applyNumberFormat="1" applyFill="1"/>
    <xf numFmtId="0" fontId="8" fillId="6" borderId="0" xfId="0" applyFont="1" applyFill="1" applyAlignment="1">
      <alignment horizontal="center"/>
    </xf>
    <xf numFmtId="195" fontId="0" fillId="0" borderId="0" xfId="0" applyNumberFormat="1"/>
    <xf numFmtId="191" fontId="0" fillId="0" borderId="0" xfId="0" applyNumberFormat="1"/>
    <xf numFmtId="0" fontId="8" fillId="10" borderId="0" xfId="0" applyFont="1" applyFill="1"/>
    <xf numFmtId="190" fontId="8" fillId="10" borderId="0" xfId="0" applyNumberFormat="1" applyFont="1" applyFill="1"/>
    <xf numFmtId="187" fontId="8" fillId="10" borderId="0" xfId="0" applyNumberFormat="1" applyFont="1" applyFill="1"/>
    <xf numFmtId="194" fontId="0" fillId="0" borderId="0" xfId="0" applyNumberFormat="1"/>
    <xf numFmtId="3" fontId="8" fillId="0" borderId="0" xfId="0" applyNumberFormat="1" applyFont="1"/>
    <xf numFmtId="0" fontId="0" fillId="0" borderId="0" xfId="0" quotePrefix="1"/>
    <xf numFmtId="3" fontId="8" fillId="10" borderId="0" xfId="0" applyNumberFormat="1" applyFont="1" applyFill="1"/>
    <xf numFmtId="0" fontId="8" fillId="7" borderId="0" xfId="0" applyFont="1" applyFill="1"/>
    <xf numFmtId="0" fontId="8" fillId="7" borderId="0" xfId="0" applyFont="1" applyFill="1" applyAlignment="1">
      <alignment horizontal="center"/>
    </xf>
    <xf numFmtId="192" fontId="8" fillId="10" borderId="0" xfId="0" applyNumberFormat="1" applyFont="1" applyFill="1"/>
    <xf numFmtId="0" fontId="18" fillId="9" borderId="0" xfId="0" applyFont="1" applyFill="1"/>
    <xf numFmtId="0" fontId="0" fillId="9" borderId="0" xfId="0" applyFill="1"/>
    <xf numFmtId="2" fontId="0" fillId="10" borderId="0" xfId="0" applyNumberFormat="1" applyFill="1"/>
    <xf numFmtId="2" fontId="0" fillId="7" borderId="0" xfId="0" applyNumberFormat="1" applyFill="1"/>
    <xf numFmtId="3" fontId="0" fillId="10" borderId="0" xfId="0" applyNumberFormat="1" applyFill="1"/>
    <xf numFmtId="9" fontId="0" fillId="11" borderId="0" xfId="0" applyNumberFormat="1" applyFill="1"/>
    <xf numFmtId="2" fontId="0" fillId="11" borderId="0" xfId="0" applyNumberFormat="1" applyFill="1"/>
    <xf numFmtId="196" fontId="8" fillId="0" borderId="0" xfId="0" applyNumberFormat="1" applyFont="1"/>
    <xf numFmtId="196" fontId="8" fillId="10" borderId="0" xfId="0" applyNumberFormat="1" applyFont="1" applyFill="1"/>
    <xf numFmtId="197" fontId="0" fillId="0" borderId="0" xfId="0" applyNumberFormat="1"/>
    <xf numFmtId="198" fontId="0" fillId="0" borderId="0" xfId="0" applyNumberFormat="1"/>
    <xf numFmtId="9" fontId="0" fillId="0" borderId="0" xfId="0" applyNumberFormat="1"/>
    <xf numFmtId="2" fontId="0" fillId="0" borderId="0" xfId="0" applyNumberFormat="1"/>
    <xf numFmtId="196" fontId="0" fillId="0" borderId="0" xfId="0" applyNumberFormat="1"/>
    <xf numFmtId="199" fontId="8" fillId="10" borderId="0" xfId="0" applyNumberFormat="1" applyFont="1" applyFill="1"/>
    <xf numFmtId="200" fontId="0" fillId="0" borderId="0" xfId="0" applyNumberFormat="1"/>
    <xf numFmtId="192" fontId="0" fillId="11" borderId="0" xfId="0" applyNumberFormat="1" applyFill="1"/>
    <xf numFmtId="190" fontId="0" fillId="7" borderId="0" xfId="0" applyNumberFormat="1" applyFill="1"/>
    <xf numFmtId="0" fontId="19" fillId="0" borderId="0" xfId="0" applyFont="1"/>
    <xf numFmtId="0" fontId="8" fillId="0" borderId="0" xfId="0" applyFont="1" applyAlignment="1">
      <alignment horizontal="center"/>
    </xf>
    <xf numFmtId="199" fontId="0" fillId="0" borderId="0" xfId="0" applyNumberFormat="1"/>
    <xf numFmtId="199" fontId="0" fillId="7" borderId="0" xfId="0" applyNumberFormat="1" applyFill="1"/>
    <xf numFmtId="200" fontId="0" fillId="7" borderId="0" xfId="0" applyNumberFormat="1" applyFill="1"/>
    <xf numFmtId="0" fontId="16" fillId="12" borderId="0" xfId="0" applyFont="1" applyFill="1"/>
    <xf numFmtId="0" fontId="0" fillId="12" borderId="0" xfId="0" applyFill="1"/>
    <xf numFmtId="0" fontId="17" fillId="9" borderId="0" xfId="0" applyFont="1" applyFill="1"/>
    <xf numFmtId="1" fontId="0" fillId="11" borderId="0" xfId="0" applyNumberFormat="1" applyFill="1"/>
    <xf numFmtId="1" fontId="0" fillId="0" borderId="0" xfId="0" applyNumberFormat="1"/>
    <xf numFmtId="191" fontId="8" fillId="0" borderId="0" xfId="0" applyNumberFormat="1" applyFont="1"/>
    <xf numFmtId="1" fontId="8" fillId="10" borderId="0" xfId="0" applyNumberFormat="1" applyFont="1" applyFill="1"/>
    <xf numFmtId="190" fontId="8" fillId="7" borderId="0" xfId="0" applyNumberFormat="1" applyFont="1" applyFill="1"/>
    <xf numFmtId="190" fontId="0" fillId="11" borderId="0" xfId="0" applyNumberFormat="1" applyFill="1"/>
    <xf numFmtId="0" fontId="20" fillId="13" borderId="0" xfId="0" applyFont="1" applyFill="1"/>
    <xf numFmtId="0" fontId="0" fillId="13" borderId="0" xfId="0" applyFill="1"/>
    <xf numFmtId="0" fontId="0" fillId="4" borderId="1" xfId="0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1C9D1B-B2FC-4554-83E8-03479F4C763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de272b84-a5b3-43b7-a949-a2ea800ea0c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0BD3-1E0E-4124-B5B3-8D59611539AB}">
  <dimension ref="A1:F34"/>
  <sheetViews>
    <sheetView showGridLines="0" zoomScale="72" zoomScaleNormal="55" workbookViewId="0">
      <pane ySplit="4" topLeftCell="A5" activePane="bottomLeft" state="frozen"/>
      <selection pane="bottomLeft" activeCell="B13" sqref="B13"/>
    </sheetView>
  </sheetViews>
  <sheetFormatPr defaultRowHeight="13.5" x14ac:dyDescent="0.35"/>
  <cols>
    <col min="1" max="1" width="50" customWidth="1"/>
    <col min="2" max="5" width="21.6875" customWidth="1"/>
    <col min="6" max="6" width="63.3125" customWidth="1"/>
  </cols>
  <sheetData>
    <row r="1" spans="1:6" ht="23.25" x14ac:dyDescent="0.7">
      <c r="A1" s="102" t="s">
        <v>604</v>
      </c>
    </row>
    <row r="2" spans="1:6" x14ac:dyDescent="0.35">
      <c r="A2" s="3" t="s">
        <v>605</v>
      </c>
    </row>
    <row r="4" spans="1:6" ht="15" x14ac:dyDescent="0.4">
      <c r="A4" s="67" t="s">
        <v>606</v>
      </c>
      <c r="B4" s="68"/>
      <c r="C4" s="68"/>
      <c r="D4" s="68"/>
      <c r="E4" s="68"/>
      <c r="F4" s="68"/>
    </row>
    <row r="5" spans="1:6" x14ac:dyDescent="0.35">
      <c r="A5" s="38" t="s">
        <v>24</v>
      </c>
      <c r="B5" s="71" t="s">
        <v>188</v>
      </c>
      <c r="C5" s="71" t="s">
        <v>189</v>
      </c>
      <c r="D5" s="71" t="s">
        <v>190</v>
      </c>
      <c r="E5" s="71" t="s">
        <v>607</v>
      </c>
      <c r="F5" s="71" t="s">
        <v>478</v>
      </c>
    </row>
    <row r="6" spans="1:6" x14ac:dyDescent="0.35">
      <c r="A6" t="s">
        <v>608</v>
      </c>
      <c r="B6" s="44">
        <f>'Client — Summary'!$B$12</f>
        <v>5000</v>
      </c>
      <c r="C6" s="44">
        <f>'Client — Summary'!$C$12</f>
        <v>7000</v>
      </c>
      <c r="D6" s="44">
        <f>'Client — Summary'!$D$12</f>
        <v>12000</v>
      </c>
      <c r="E6" s="44">
        <f>'Client — Summary'!$E$12</f>
        <v>6550</v>
      </c>
      <c r="F6" t="s">
        <v>609</v>
      </c>
    </row>
    <row r="7" spans="1:6" x14ac:dyDescent="0.35">
      <c r="A7" s="74" t="s">
        <v>610</v>
      </c>
      <c r="B7" s="83">
        <f>'Client — Summary'!$B$9</f>
        <v>1.0019863958333333</v>
      </c>
      <c r="C7" s="83">
        <f>'Client — Summary'!$C$9</f>
        <v>5.0727030753968245</v>
      </c>
      <c r="D7" s="83">
        <f>'Client — Summary'!$D$9</f>
        <v>5.215028587962963</v>
      </c>
      <c r="E7" s="83">
        <f>'Client — Summary'!$E$9</f>
        <v>2.6516218945436503</v>
      </c>
      <c r="F7" t="s">
        <v>611</v>
      </c>
    </row>
    <row r="8" spans="1:6" x14ac:dyDescent="0.35">
      <c r="A8" t="s">
        <v>612</v>
      </c>
      <c r="B8" s="49">
        <f>'AI Infra — Unit Cost'!$B$23</f>
        <v>0.98124999999999996</v>
      </c>
      <c r="C8" s="49">
        <f>'AI Infra — Unit Cost'!$C$23</f>
        <v>0.9107142857142857</v>
      </c>
      <c r="D8" s="49">
        <f>'AI Infra — Unit Cost'!$D$23</f>
        <v>0.89583333333333337</v>
      </c>
      <c r="F8" t="s">
        <v>613</v>
      </c>
    </row>
    <row r="10" spans="1:6" ht="15" x14ac:dyDescent="0.4">
      <c r="A10" s="67" t="s">
        <v>614</v>
      </c>
      <c r="B10" s="68"/>
      <c r="C10" s="68"/>
      <c r="D10" s="68"/>
      <c r="E10" s="68"/>
      <c r="F10" s="68"/>
    </row>
    <row r="11" spans="1:6" x14ac:dyDescent="0.35">
      <c r="A11" s="38" t="s">
        <v>24</v>
      </c>
      <c r="B11" s="71" t="s">
        <v>589</v>
      </c>
      <c r="C11" s="71" t="s">
        <v>590</v>
      </c>
      <c r="D11" s="71" t="s">
        <v>591</v>
      </c>
      <c r="E11" s="71" t="s">
        <v>592</v>
      </c>
      <c r="F11" s="71" t="s">
        <v>593</v>
      </c>
    </row>
    <row r="12" spans="1:6" x14ac:dyDescent="0.35">
      <c r="A12" t="s">
        <v>588</v>
      </c>
      <c r="B12" s="22">
        <f>'5-Year Projection'!$B$6</f>
        <v>1086</v>
      </c>
      <c r="C12" s="22">
        <f>'5-Year Projection'!$C$6</f>
        <v>2015</v>
      </c>
      <c r="D12" s="22">
        <f>'5-Year Projection'!$D$6</f>
        <v>2810</v>
      </c>
      <c r="E12" s="22">
        <f>'5-Year Projection'!$E$6</f>
        <v>5620</v>
      </c>
      <c r="F12" s="22">
        <f>'5-Year Projection'!$F$6</f>
        <v>11240</v>
      </c>
    </row>
    <row r="13" spans="1:6" x14ac:dyDescent="0.35">
      <c r="A13" s="74" t="s">
        <v>615</v>
      </c>
      <c r="B13" s="75">
        <f>'5-Year Projection'!$B$11</f>
        <v>44191512</v>
      </c>
      <c r="C13" s="75">
        <f>'5-Year Projection'!$C$11</f>
        <v>102583650</v>
      </c>
      <c r="D13" s="75">
        <f>'5-Year Projection'!$D$11</f>
        <v>220866000</v>
      </c>
      <c r="E13" s="75">
        <f>'5-Year Projection'!$E$11</f>
        <v>472080000</v>
      </c>
      <c r="F13" s="75">
        <f>'5-Year Projection'!$F$11</f>
        <v>991368000</v>
      </c>
    </row>
    <row r="14" spans="1:6" x14ac:dyDescent="0.35">
      <c r="A14" s="37" t="s">
        <v>616</v>
      </c>
      <c r="B14" s="52">
        <f>'5-Year Projection'!$B$24</f>
        <v>0.8129035503469535</v>
      </c>
      <c r="C14" s="52">
        <f>'5-Year Projection'!$C$24</f>
        <v>0.88188267574803592</v>
      </c>
      <c r="D14" s="52">
        <f>'5-Year Projection'!$D$24</f>
        <v>0.91411534595637178</v>
      </c>
      <c r="E14" s="52">
        <f>'5-Year Projection'!$E$24</f>
        <v>0.8998300076258261</v>
      </c>
      <c r="F14" s="52">
        <f>'5-Year Projection'!$F$24</f>
        <v>0.89673436100418813</v>
      </c>
    </row>
    <row r="16" spans="1:6" x14ac:dyDescent="0.35">
      <c r="A16" t="s">
        <v>617</v>
      </c>
      <c r="B16" s="103" t="s">
        <v>206</v>
      </c>
      <c r="C16" s="82" t="s">
        <v>53</v>
      </c>
      <c r="D16" s="103" t="s">
        <v>207</v>
      </c>
    </row>
    <row r="17" spans="1:6" x14ac:dyDescent="0.35">
      <c r="A17" t="s">
        <v>618</v>
      </c>
      <c r="B17" t="str">
        <f>'5-Year Projection'!$D$5&amp;" ราย / "&amp;TEXT('5-Year Projection'!$D$10,"#,##0")&amp;" ฿"</f>
        <v>282 ราย / 22,165,200 ฿</v>
      </c>
      <c r="C17" s="69" t="str">
        <f>'5-Year Projection'!$D$6&amp;" ราย / "&amp;TEXT('5-Year Projection'!$D$11,"#,##0")&amp;" ฿"</f>
        <v>2810 ราย / 220,866,000 ฿</v>
      </c>
      <c r="D17" t="str">
        <f>'5-Year Projection'!$D$7&amp;" ราย / "&amp;TEXT('5-Year Projection'!$D$12,"#,##0")&amp;" ฿"</f>
        <v>16098 ราย / 1,265,302,800 ฿</v>
      </c>
    </row>
    <row r="19" spans="1:6" ht="15" x14ac:dyDescent="0.4">
      <c r="A19" s="67" t="s">
        <v>619</v>
      </c>
      <c r="B19" s="68"/>
      <c r="C19" s="68"/>
      <c r="D19" s="68"/>
      <c r="E19" s="68"/>
      <c r="F19" s="68"/>
    </row>
    <row r="20" spans="1:6" x14ac:dyDescent="0.35">
      <c r="A20" s="38" t="s">
        <v>24</v>
      </c>
      <c r="B20" s="71" t="s">
        <v>188</v>
      </c>
      <c r="C20" s="71" t="s">
        <v>189</v>
      </c>
      <c r="D20" s="71" t="s">
        <v>190</v>
      </c>
    </row>
    <row r="21" spans="1:6" x14ac:dyDescent="0.35">
      <c r="A21" t="s">
        <v>620</v>
      </c>
      <c r="B21" s="73">
        <f>'Client — Small'!$B$13</f>
        <v>23.333333333333332</v>
      </c>
      <c r="C21" s="73">
        <f>'Client — Medium'!$B$13</f>
        <v>116.66666666666666</v>
      </c>
      <c r="D21" s="73">
        <f>'Client — Large'!$B$13</f>
        <v>311.11111111111109</v>
      </c>
    </row>
    <row r="22" spans="1:6" x14ac:dyDescent="0.35">
      <c r="A22" t="s">
        <v>621</v>
      </c>
      <c r="B22" s="44">
        <f>'Client — Small'!$B$25</f>
        <v>60119.183749999997</v>
      </c>
      <c r="C22" s="44">
        <f>'Client — Medium'!$B$25</f>
        <v>426107.05833333329</v>
      </c>
      <c r="D22" s="44">
        <f>'Client — Large'!$B$25</f>
        <v>750964.1166666667</v>
      </c>
    </row>
    <row r="24" spans="1:6" ht="15" x14ac:dyDescent="0.4">
      <c r="A24" s="67" t="s">
        <v>622</v>
      </c>
      <c r="B24" s="68"/>
      <c r="C24" s="68"/>
      <c r="D24" s="68"/>
      <c r="E24" s="68"/>
      <c r="F24" s="68"/>
    </row>
    <row r="25" spans="1:6" x14ac:dyDescent="0.35">
      <c r="A25" s="38" t="s">
        <v>24</v>
      </c>
      <c r="B25" s="71" t="s">
        <v>206</v>
      </c>
      <c r="C25" s="82" t="s">
        <v>53</v>
      </c>
      <c r="D25" s="71" t="s">
        <v>207</v>
      </c>
    </row>
    <row r="26" spans="1:6" x14ac:dyDescent="0.35">
      <c r="A26" t="s">
        <v>623</v>
      </c>
      <c r="B26" s="104">
        <f>'Sustainability Impact'!$B$32</f>
        <v>2672.1701043840003</v>
      </c>
      <c r="C26" s="105">
        <f>'Sustainability Impact'!$C$32</f>
        <v>26626.943238720003</v>
      </c>
      <c r="D26" s="104">
        <f>'Sustainability Impact'!$D$32</f>
        <v>152541.11468217603</v>
      </c>
    </row>
    <row r="27" spans="1:6" x14ac:dyDescent="0.35">
      <c r="A27" t="s">
        <v>624</v>
      </c>
      <c r="B27" s="99">
        <f>'Sustainability Impact'!$B$33</f>
        <v>127246.19544685716</v>
      </c>
      <c r="C27" s="106">
        <f>'Sustainability Impact'!$C$33</f>
        <v>1267949.6780342858</v>
      </c>
      <c r="D27" s="99">
        <f>'Sustainability Impact'!$D$33</f>
        <v>7263862.6039131442</v>
      </c>
      <c r="F27" t="s">
        <v>625</v>
      </c>
    </row>
    <row r="29" spans="1:6" ht="15" x14ac:dyDescent="0.4">
      <c r="A29" s="107" t="s">
        <v>626</v>
      </c>
      <c r="B29" s="108"/>
      <c r="C29" s="108"/>
      <c r="D29" s="108"/>
      <c r="E29" s="108"/>
      <c r="F29" s="108"/>
    </row>
    <row r="30" spans="1:6" x14ac:dyDescent="0.35">
      <c r="A30" s="109" t="s">
        <v>627</v>
      </c>
      <c r="B30" s="85"/>
      <c r="C30" s="85"/>
      <c r="D30" s="85"/>
      <c r="E30" s="85"/>
      <c r="F30" s="85"/>
    </row>
    <row r="31" spans="1:6" x14ac:dyDescent="0.35">
      <c r="A31" s="109" t="s">
        <v>628</v>
      </c>
      <c r="B31" s="85"/>
      <c r="C31" s="85"/>
      <c r="D31" s="85"/>
      <c r="E31" s="85"/>
      <c r="F31" s="85"/>
    </row>
    <row r="32" spans="1:6" x14ac:dyDescent="0.35">
      <c r="A32" s="109" t="s">
        <v>629</v>
      </c>
      <c r="B32" s="85"/>
      <c r="C32" s="85"/>
      <c r="D32" s="85"/>
      <c r="E32" s="85"/>
      <c r="F32" s="85"/>
    </row>
    <row r="33" spans="1:6" x14ac:dyDescent="0.35">
      <c r="A33" s="109" t="s">
        <v>630</v>
      </c>
      <c r="B33" s="85"/>
      <c r="C33" s="85"/>
      <c r="D33" s="85"/>
      <c r="E33" s="85"/>
      <c r="F33" s="85"/>
    </row>
    <row r="34" spans="1:6" x14ac:dyDescent="0.35">
      <c r="A34" s="116" t="s">
        <v>696</v>
      </c>
      <c r="B34" s="117"/>
      <c r="C34" s="117"/>
      <c r="D34" s="117"/>
      <c r="E34" s="117"/>
      <c r="F34" s="1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opLeftCell="A15" workbookViewId="0">
      <selection activeCell="A18" sqref="A18"/>
    </sheetView>
  </sheetViews>
  <sheetFormatPr defaultRowHeight="13.5" x14ac:dyDescent="0.35"/>
  <cols>
    <col min="1" max="1" width="100" customWidth="1"/>
  </cols>
  <sheetData>
    <row r="1" spans="1:1" ht="21" x14ac:dyDescent="0.65">
      <c r="A1" s="1" t="s">
        <v>0</v>
      </c>
    </row>
    <row r="3" spans="1:1" ht="14.25" x14ac:dyDescent="0.45">
      <c r="A3" s="2" t="s">
        <v>1</v>
      </c>
    </row>
    <row r="4" spans="1:1" ht="14.25" x14ac:dyDescent="0.45">
      <c r="A4" s="2" t="s">
        <v>2</v>
      </c>
    </row>
    <row r="5" spans="1:1" x14ac:dyDescent="0.35">
      <c r="A5" s="3"/>
    </row>
    <row r="6" spans="1:1" ht="14.25" x14ac:dyDescent="0.45">
      <c r="A6" s="2" t="s">
        <v>3</v>
      </c>
    </row>
    <row r="7" spans="1:1" x14ac:dyDescent="0.35">
      <c r="A7" s="3" t="s">
        <v>4</v>
      </c>
    </row>
    <row r="8" spans="1:1" x14ac:dyDescent="0.35">
      <c r="A8" s="3" t="s">
        <v>5</v>
      </c>
    </row>
    <row r="9" spans="1:1" x14ac:dyDescent="0.35">
      <c r="A9" s="3"/>
    </row>
    <row r="10" spans="1:1" ht="14.25" x14ac:dyDescent="0.45">
      <c r="A10" s="2" t="s">
        <v>6</v>
      </c>
    </row>
    <row r="11" spans="1:1" x14ac:dyDescent="0.35">
      <c r="A11" s="3" t="s">
        <v>7</v>
      </c>
    </row>
    <row r="12" spans="1:1" x14ac:dyDescent="0.35">
      <c r="A12" s="3" t="s">
        <v>8</v>
      </c>
    </row>
    <row r="13" spans="1:1" x14ac:dyDescent="0.35">
      <c r="A13" s="3" t="s">
        <v>9</v>
      </c>
    </row>
    <row r="14" spans="1:1" x14ac:dyDescent="0.35">
      <c r="A14" s="3" t="s">
        <v>10</v>
      </c>
    </row>
    <row r="15" spans="1:1" x14ac:dyDescent="0.35">
      <c r="A15" s="3" t="s">
        <v>11</v>
      </c>
    </row>
    <row r="16" spans="1:1" x14ac:dyDescent="0.35">
      <c r="A16" s="3" t="s">
        <v>12</v>
      </c>
    </row>
    <row r="17" spans="1:1" x14ac:dyDescent="0.35">
      <c r="A17" s="3" t="s">
        <v>13</v>
      </c>
    </row>
    <row r="18" spans="1:1" x14ac:dyDescent="0.35">
      <c r="A18" s="3" t="s">
        <v>14</v>
      </c>
    </row>
    <row r="19" spans="1:1" x14ac:dyDescent="0.35">
      <c r="A19" s="3"/>
    </row>
    <row r="20" spans="1:1" ht="14.25" x14ac:dyDescent="0.45">
      <c r="A20" s="2" t="s">
        <v>15</v>
      </c>
    </row>
    <row r="21" spans="1:1" x14ac:dyDescent="0.35">
      <c r="A21" s="3" t="s">
        <v>16</v>
      </c>
    </row>
    <row r="22" spans="1:1" x14ac:dyDescent="0.35">
      <c r="A22" s="3" t="s">
        <v>17</v>
      </c>
    </row>
    <row r="23" spans="1:1" x14ac:dyDescent="0.35">
      <c r="A23" s="3" t="s">
        <v>18</v>
      </c>
    </row>
    <row r="24" spans="1:1" x14ac:dyDescent="0.35">
      <c r="A24" s="3" t="s">
        <v>19</v>
      </c>
    </row>
    <row r="25" spans="1:1" x14ac:dyDescent="0.35">
      <c r="A25" s="3"/>
    </row>
    <row r="26" spans="1:1" ht="14.25" x14ac:dyDescent="0.45">
      <c r="A26" s="2" t="s">
        <v>20</v>
      </c>
    </row>
    <row r="27" spans="1:1" ht="14.25" x14ac:dyDescent="0.45">
      <c r="A27" s="2" t="s">
        <v>21</v>
      </c>
    </row>
    <row r="28" spans="1:1" x14ac:dyDescent="0.35">
      <c r="A28" s="3" t="s">
        <v>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1"/>
  <sheetViews>
    <sheetView tabSelected="1" workbookViewId="0">
      <pane ySplit="4" topLeftCell="A59" activePane="bottomLeft" state="frozen"/>
      <selection pane="bottomLeft" activeCell="B59" sqref="B59"/>
    </sheetView>
  </sheetViews>
  <sheetFormatPr defaultRowHeight="13.5" x14ac:dyDescent="0.35"/>
  <cols>
    <col min="1" max="1" width="46" customWidth="1"/>
    <col min="2" max="3" width="16" customWidth="1"/>
    <col min="4" max="4" width="14" customWidth="1"/>
    <col min="5" max="5" width="70" customWidth="1"/>
  </cols>
  <sheetData>
    <row r="1" spans="1:5" ht="18" x14ac:dyDescent="0.55000000000000004">
      <c r="A1" s="4" t="s">
        <v>22</v>
      </c>
    </row>
    <row r="2" spans="1:5" x14ac:dyDescent="0.35">
      <c r="A2" s="3" t="s">
        <v>23</v>
      </c>
    </row>
    <row r="4" spans="1:5" ht="15.75" x14ac:dyDescent="0.5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</row>
    <row r="5" spans="1:5" ht="14.25" x14ac:dyDescent="0.45">
      <c r="A5" s="6" t="s">
        <v>29</v>
      </c>
      <c r="B5" s="7"/>
      <c r="C5" s="7"/>
      <c r="D5" s="7"/>
      <c r="E5" s="7"/>
    </row>
    <row r="6" spans="1:5" x14ac:dyDescent="0.35">
      <c r="A6" t="s">
        <v>30</v>
      </c>
      <c r="B6" s="8">
        <v>1407000</v>
      </c>
      <c r="C6" t="s">
        <v>31</v>
      </c>
      <c r="D6" t="s">
        <v>32</v>
      </c>
      <c r="E6" t="s">
        <v>33</v>
      </c>
    </row>
    <row r="7" spans="1:5" x14ac:dyDescent="0.35">
      <c r="A7" t="s">
        <v>34</v>
      </c>
      <c r="B7" s="8">
        <v>1410000</v>
      </c>
      <c r="C7" t="s">
        <v>31</v>
      </c>
      <c r="D7" t="s">
        <v>32</v>
      </c>
      <c r="E7" t="s">
        <v>35</v>
      </c>
    </row>
    <row r="8" spans="1:5" x14ac:dyDescent="0.35">
      <c r="A8" t="s">
        <v>36</v>
      </c>
      <c r="B8" s="9">
        <v>0.02</v>
      </c>
      <c r="C8" t="s">
        <v>37</v>
      </c>
      <c r="D8" t="s">
        <v>32</v>
      </c>
      <c r="E8" t="s">
        <v>38</v>
      </c>
    </row>
    <row r="9" spans="1:5" x14ac:dyDescent="0.35">
      <c r="A9" t="s">
        <v>39</v>
      </c>
      <c r="B9" s="8">
        <v>300000</v>
      </c>
      <c r="C9" t="s">
        <v>31</v>
      </c>
      <c r="D9" t="s">
        <v>32</v>
      </c>
      <c r="E9" t="s">
        <v>40</v>
      </c>
    </row>
    <row r="10" spans="1:5" x14ac:dyDescent="0.35">
      <c r="A10" t="s">
        <v>41</v>
      </c>
      <c r="B10" s="8">
        <v>350000</v>
      </c>
      <c r="C10" t="s">
        <v>31</v>
      </c>
      <c r="D10" t="s">
        <v>32</v>
      </c>
      <c r="E10" t="s">
        <v>42</v>
      </c>
    </row>
    <row r="11" spans="1:5" x14ac:dyDescent="0.35">
      <c r="A11" t="s">
        <v>43</v>
      </c>
      <c r="B11" s="8">
        <v>80000</v>
      </c>
      <c r="C11" t="s">
        <v>44</v>
      </c>
      <c r="D11" t="s">
        <v>32</v>
      </c>
      <c r="E11" t="s">
        <v>419</v>
      </c>
    </row>
    <row r="12" spans="1:5" x14ac:dyDescent="0.35">
      <c r="A12" t="s">
        <v>45</v>
      </c>
      <c r="B12" s="9">
        <v>0.99929999999999997</v>
      </c>
      <c r="C12" t="s">
        <v>46</v>
      </c>
      <c r="D12" t="s">
        <v>32</v>
      </c>
      <c r="E12" t="s">
        <v>420</v>
      </c>
    </row>
    <row r="13" spans="1:5" x14ac:dyDescent="0.35">
      <c r="A13" t="s">
        <v>47</v>
      </c>
      <c r="B13" s="9">
        <v>0.2</v>
      </c>
      <c r="C13" t="s">
        <v>46</v>
      </c>
      <c r="D13" t="s">
        <v>32</v>
      </c>
      <c r="E13" t="s">
        <v>48</v>
      </c>
    </row>
    <row r="14" spans="1:5" x14ac:dyDescent="0.35">
      <c r="A14" t="s">
        <v>49</v>
      </c>
      <c r="B14" s="10">
        <v>0.3</v>
      </c>
      <c r="C14" t="s">
        <v>46</v>
      </c>
      <c r="D14" t="s">
        <v>50</v>
      </c>
      <c r="E14" t="s">
        <v>51</v>
      </c>
    </row>
    <row r="15" spans="1:5" ht="14.25" x14ac:dyDescent="0.45">
      <c r="A15" s="6" t="s">
        <v>52</v>
      </c>
      <c r="B15" s="7"/>
      <c r="C15" s="7"/>
      <c r="D15" s="7"/>
      <c r="E15" s="7"/>
    </row>
    <row r="16" spans="1:5" x14ac:dyDescent="0.35">
      <c r="A16" s="84" t="s">
        <v>669</v>
      </c>
      <c r="B16" s="11" t="s">
        <v>207</v>
      </c>
      <c r="D16" t="s">
        <v>50</v>
      </c>
      <c r="E16" t="s">
        <v>670</v>
      </c>
    </row>
    <row r="17" spans="1:5" x14ac:dyDescent="0.35">
      <c r="B17" s="12"/>
    </row>
    <row r="18" spans="1:5" x14ac:dyDescent="0.35">
      <c r="B18" s="12"/>
    </row>
    <row r="19" spans="1:5" x14ac:dyDescent="0.35">
      <c r="B19" s="12"/>
    </row>
    <row r="20" spans="1:5" x14ac:dyDescent="0.35">
      <c r="B20" s="10"/>
    </row>
    <row r="21" spans="1:5" x14ac:dyDescent="0.35">
      <c r="B21" s="10"/>
    </row>
    <row r="22" spans="1:5" x14ac:dyDescent="0.35">
      <c r="B22" s="10"/>
    </row>
    <row r="23" spans="1:5" x14ac:dyDescent="0.35">
      <c r="B23" s="13"/>
    </row>
    <row r="24" spans="1:5" ht="14.25" x14ac:dyDescent="0.45">
      <c r="A24" s="6" t="s">
        <v>56</v>
      </c>
      <c r="B24" s="7"/>
      <c r="C24" s="7"/>
      <c r="D24" s="7"/>
      <c r="E24" s="7"/>
    </row>
    <row r="25" spans="1:5" x14ac:dyDescent="0.35">
      <c r="A25" t="s">
        <v>57</v>
      </c>
      <c r="B25" s="14">
        <v>4.5</v>
      </c>
      <c r="C25" t="s">
        <v>58</v>
      </c>
      <c r="D25" t="s">
        <v>32</v>
      </c>
      <c r="E25" t="s">
        <v>59</v>
      </c>
    </row>
    <row r="26" spans="1:5" x14ac:dyDescent="0.35">
      <c r="A26" t="s">
        <v>60</v>
      </c>
      <c r="B26" s="15">
        <v>0.1</v>
      </c>
      <c r="C26" t="s">
        <v>61</v>
      </c>
      <c r="D26" t="s">
        <v>32</v>
      </c>
      <c r="E26" t="s">
        <v>62</v>
      </c>
    </row>
    <row r="27" spans="1:5" x14ac:dyDescent="0.35">
      <c r="A27" t="s">
        <v>63</v>
      </c>
      <c r="B27" s="16">
        <v>175</v>
      </c>
      <c r="C27" t="s">
        <v>64</v>
      </c>
      <c r="D27" t="s">
        <v>50</v>
      </c>
      <c r="E27" t="s">
        <v>65</v>
      </c>
    </row>
    <row r="28" spans="1:5" ht="14.25" x14ac:dyDescent="0.45">
      <c r="A28" s="6" t="s">
        <v>66</v>
      </c>
      <c r="B28" s="7"/>
      <c r="C28" s="7"/>
      <c r="D28" s="7"/>
      <c r="E28" s="7"/>
    </row>
    <row r="29" spans="1:5" x14ac:dyDescent="0.35">
      <c r="A29" t="s">
        <v>67</v>
      </c>
      <c r="B29" s="9">
        <v>7.4999999999999997E-2</v>
      </c>
      <c r="C29" t="s">
        <v>46</v>
      </c>
      <c r="D29" t="s">
        <v>32</v>
      </c>
      <c r="E29" t="s">
        <v>68</v>
      </c>
    </row>
    <row r="30" spans="1:5" x14ac:dyDescent="0.35">
      <c r="A30" t="s">
        <v>69</v>
      </c>
      <c r="B30" s="9">
        <v>7.4999999999999997E-2</v>
      </c>
      <c r="C30" t="s">
        <v>70</v>
      </c>
      <c r="D30" t="s">
        <v>32</v>
      </c>
      <c r="E30" t="s">
        <v>71</v>
      </c>
    </row>
    <row r="31" spans="1:5" x14ac:dyDescent="0.35">
      <c r="A31" t="s">
        <v>72</v>
      </c>
      <c r="B31" s="10">
        <v>0.9</v>
      </c>
      <c r="C31" t="s">
        <v>46</v>
      </c>
      <c r="D31" t="s">
        <v>50</v>
      </c>
      <c r="E31" t="s">
        <v>73</v>
      </c>
    </row>
    <row r="32" spans="1:5" ht="14.25" x14ac:dyDescent="0.45">
      <c r="A32" s="6" t="s">
        <v>74</v>
      </c>
      <c r="B32" s="7"/>
      <c r="C32" s="7"/>
      <c r="D32" s="7"/>
      <c r="E32" s="7"/>
    </row>
    <row r="33" spans="1:5" x14ac:dyDescent="0.35">
      <c r="A33" t="s">
        <v>75</v>
      </c>
      <c r="B33" s="17">
        <v>21.5</v>
      </c>
      <c r="C33" t="s">
        <v>76</v>
      </c>
      <c r="D33" t="s">
        <v>32</v>
      </c>
      <c r="E33" t="s">
        <v>77</v>
      </c>
    </row>
    <row r="34" spans="1:5" x14ac:dyDescent="0.35">
      <c r="A34" t="s">
        <v>78</v>
      </c>
      <c r="B34" s="14">
        <v>73.7</v>
      </c>
      <c r="C34" t="s">
        <v>79</v>
      </c>
      <c r="D34" t="s">
        <v>32</v>
      </c>
      <c r="E34" t="s">
        <v>80</v>
      </c>
    </row>
    <row r="35" spans="1:5" x14ac:dyDescent="0.35">
      <c r="A35" t="s">
        <v>81</v>
      </c>
      <c r="B35" s="9">
        <v>6.5000000000000002E-2</v>
      </c>
      <c r="C35" t="s">
        <v>46</v>
      </c>
      <c r="D35" t="s">
        <v>32</v>
      </c>
      <c r="E35" t="s">
        <v>82</v>
      </c>
    </row>
    <row r="36" spans="1:5" x14ac:dyDescent="0.35">
      <c r="A36" t="s">
        <v>83</v>
      </c>
      <c r="B36" s="9">
        <v>0.03</v>
      </c>
      <c r="C36" t="s">
        <v>46</v>
      </c>
      <c r="D36" t="s">
        <v>32</v>
      </c>
      <c r="E36" t="s">
        <v>84</v>
      </c>
    </row>
    <row r="37" spans="1:5" x14ac:dyDescent="0.35">
      <c r="A37" t="s">
        <v>85</v>
      </c>
      <c r="B37" s="9">
        <v>0.1</v>
      </c>
      <c r="C37" t="s">
        <v>86</v>
      </c>
      <c r="D37" t="s">
        <v>32</v>
      </c>
      <c r="E37" t="s">
        <v>87</v>
      </c>
    </row>
    <row r="38" spans="1:5" ht="14.25" x14ac:dyDescent="0.45">
      <c r="A38" s="6" t="s">
        <v>88</v>
      </c>
      <c r="B38" s="7"/>
      <c r="C38" s="7"/>
      <c r="D38" s="7"/>
      <c r="E38" s="7"/>
    </row>
    <row r="39" spans="1:5" x14ac:dyDescent="0.35">
      <c r="A39" t="s">
        <v>89</v>
      </c>
      <c r="B39" s="8">
        <v>300</v>
      </c>
      <c r="C39" t="s">
        <v>90</v>
      </c>
      <c r="D39" t="s">
        <v>32</v>
      </c>
      <c r="E39" t="s">
        <v>91</v>
      </c>
    </row>
    <row r="40" spans="1:5" x14ac:dyDescent="0.35">
      <c r="A40" t="s">
        <v>92</v>
      </c>
      <c r="B40" s="18">
        <v>6500000</v>
      </c>
      <c r="C40" t="s">
        <v>93</v>
      </c>
      <c r="D40" t="s">
        <v>32</v>
      </c>
      <c r="E40" t="s">
        <v>94</v>
      </c>
    </row>
    <row r="41" spans="1:5" x14ac:dyDescent="0.35">
      <c r="A41" t="s">
        <v>95</v>
      </c>
      <c r="B41" s="16">
        <v>1</v>
      </c>
      <c r="C41" t="s">
        <v>96</v>
      </c>
      <c r="D41" t="s">
        <v>50</v>
      </c>
      <c r="E41" t="s">
        <v>97</v>
      </c>
    </row>
    <row r="42" spans="1:5" x14ac:dyDescent="0.35">
      <c r="A42" t="s">
        <v>98</v>
      </c>
      <c r="B42" s="16">
        <v>2</v>
      </c>
      <c r="C42" t="s">
        <v>96</v>
      </c>
      <c r="D42" t="s">
        <v>50</v>
      </c>
      <c r="E42" t="s">
        <v>54</v>
      </c>
    </row>
    <row r="43" spans="1:5" x14ac:dyDescent="0.35">
      <c r="A43" t="s">
        <v>99</v>
      </c>
      <c r="B43" s="19">
        <f>AVERAGE(B41,B42)</f>
        <v>1.5</v>
      </c>
      <c r="C43" t="s">
        <v>96</v>
      </c>
      <c r="D43" t="s">
        <v>55</v>
      </c>
    </row>
    <row r="44" spans="1:5" x14ac:dyDescent="0.35">
      <c r="A44" t="s">
        <v>100</v>
      </c>
      <c r="B44" s="16">
        <v>1500</v>
      </c>
      <c r="C44" t="s">
        <v>90</v>
      </c>
      <c r="D44" t="s">
        <v>50</v>
      </c>
      <c r="E44" t="s">
        <v>101</v>
      </c>
    </row>
    <row r="45" spans="1:5" x14ac:dyDescent="0.35">
      <c r="A45" t="s">
        <v>102</v>
      </c>
      <c r="B45" s="20">
        <v>35000000</v>
      </c>
      <c r="C45" t="s">
        <v>93</v>
      </c>
      <c r="D45" t="s">
        <v>50</v>
      </c>
      <c r="E45" t="s">
        <v>103</v>
      </c>
    </row>
    <row r="46" spans="1:5" x14ac:dyDescent="0.35">
      <c r="A46" t="s">
        <v>104</v>
      </c>
      <c r="B46" s="16">
        <v>1</v>
      </c>
      <c r="C46" t="s">
        <v>96</v>
      </c>
      <c r="D46" t="s">
        <v>50</v>
      </c>
      <c r="E46" t="s">
        <v>54</v>
      </c>
    </row>
    <row r="47" spans="1:5" x14ac:dyDescent="0.35">
      <c r="A47" t="s">
        <v>105</v>
      </c>
      <c r="B47" s="16">
        <v>3</v>
      </c>
      <c r="C47" t="s">
        <v>96</v>
      </c>
      <c r="D47" t="s">
        <v>50</v>
      </c>
      <c r="E47" t="s">
        <v>54</v>
      </c>
    </row>
    <row r="48" spans="1:5" x14ac:dyDescent="0.35">
      <c r="A48" t="s">
        <v>106</v>
      </c>
      <c r="B48" s="19">
        <f>AVERAGE(B46,B47)</f>
        <v>2</v>
      </c>
      <c r="C48" t="s">
        <v>96</v>
      </c>
      <c r="D48" t="s">
        <v>55</v>
      </c>
    </row>
    <row r="49" spans="1:5" x14ac:dyDescent="0.35">
      <c r="A49" t="s">
        <v>107</v>
      </c>
      <c r="B49" s="16">
        <v>4000</v>
      </c>
      <c r="C49" t="s">
        <v>90</v>
      </c>
      <c r="D49" t="s">
        <v>50</v>
      </c>
      <c r="E49" t="s">
        <v>108</v>
      </c>
    </row>
    <row r="50" spans="1:5" x14ac:dyDescent="0.35">
      <c r="A50" t="s">
        <v>109</v>
      </c>
      <c r="B50" s="20">
        <v>80000000</v>
      </c>
      <c r="C50" t="s">
        <v>93</v>
      </c>
      <c r="D50" t="s">
        <v>50</v>
      </c>
      <c r="E50" t="s">
        <v>110</v>
      </c>
    </row>
    <row r="51" spans="1:5" x14ac:dyDescent="0.35">
      <c r="A51" t="s">
        <v>111</v>
      </c>
      <c r="B51" s="16">
        <v>1</v>
      </c>
      <c r="C51" t="s">
        <v>96</v>
      </c>
      <c r="D51" t="s">
        <v>50</v>
      </c>
      <c r="E51" t="s">
        <v>112</v>
      </c>
    </row>
    <row r="52" spans="1:5" x14ac:dyDescent="0.35">
      <c r="A52" t="s">
        <v>113</v>
      </c>
      <c r="B52" s="16">
        <v>2</v>
      </c>
      <c r="C52" t="s">
        <v>96</v>
      </c>
      <c r="D52" t="s">
        <v>50</v>
      </c>
      <c r="E52" t="s">
        <v>54</v>
      </c>
    </row>
    <row r="53" spans="1:5" x14ac:dyDescent="0.35">
      <c r="A53" t="s">
        <v>114</v>
      </c>
      <c r="B53" s="19">
        <f>AVERAGE(B51,B52)</f>
        <v>1.5</v>
      </c>
      <c r="C53" t="s">
        <v>96</v>
      </c>
      <c r="D53" t="s">
        <v>55</v>
      </c>
    </row>
    <row r="54" spans="1:5" ht="14.25" x14ac:dyDescent="0.45">
      <c r="A54" s="6" t="s">
        <v>115</v>
      </c>
      <c r="B54" s="7"/>
      <c r="C54" s="7"/>
      <c r="D54" s="7"/>
      <c r="E54" s="7"/>
    </row>
    <row r="55" spans="1:5" x14ac:dyDescent="0.35">
      <c r="A55" t="s">
        <v>341</v>
      </c>
      <c r="B55" s="20">
        <v>5000</v>
      </c>
      <c r="C55" t="s">
        <v>117</v>
      </c>
      <c r="D55" t="s">
        <v>50</v>
      </c>
      <c r="E55" t="s">
        <v>342</v>
      </c>
    </row>
    <row r="56" spans="1:5" x14ac:dyDescent="0.35">
      <c r="A56" t="s">
        <v>116</v>
      </c>
      <c r="B56" s="20">
        <v>7000</v>
      </c>
      <c r="C56" t="s">
        <v>117</v>
      </c>
      <c r="D56" t="s">
        <v>50</v>
      </c>
      <c r="E56" t="s">
        <v>315</v>
      </c>
    </row>
    <row r="57" spans="1:5" x14ac:dyDescent="0.35">
      <c r="A57" t="s">
        <v>343</v>
      </c>
      <c r="B57" s="20">
        <v>12000</v>
      </c>
      <c r="C57" t="s">
        <v>117</v>
      </c>
      <c r="D57" t="s">
        <v>50</v>
      </c>
      <c r="E57" t="s">
        <v>344</v>
      </c>
    </row>
    <row r="58" spans="1:5" ht="14.25" x14ac:dyDescent="0.45">
      <c r="A58" s="6" t="s">
        <v>118</v>
      </c>
      <c r="B58" s="7"/>
      <c r="C58" s="7"/>
      <c r="D58" s="7">
        <v>0.12</v>
      </c>
      <c r="E58" s="7"/>
    </row>
    <row r="59" spans="1:5" x14ac:dyDescent="0.35">
      <c r="A59" t="s">
        <v>119</v>
      </c>
      <c r="B59" s="10">
        <v>0.6</v>
      </c>
      <c r="C59" t="s">
        <v>46</v>
      </c>
      <c r="D59" t="s">
        <v>50</v>
      </c>
      <c r="E59" t="s">
        <v>120</v>
      </c>
    </row>
    <row r="60" spans="1:5" x14ac:dyDescent="0.35">
      <c r="A60" t="s">
        <v>121</v>
      </c>
      <c r="B60" s="10">
        <v>0.25</v>
      </c>
      <c r="C60" t="s">
        <v>46</v>
      </c>
      <c r="D60" t="s">
        <v>50</v>
      </c>
      <c r="E60" t="s">
        <v>120</v>
      </c>
    </row>
    <row r="61" spans="1:5" x14ac:dyDescent="0.35">
      <c r="A61" t="s">
        <v>122</v>
      </c>
      <c r="B61" s="10">
        <v>0.15</v>
      </c>
      <c r="C61" t="s">
        <v>46</v>
      </c>
      <c r="D61" t="s">
        <v>50</v>
      </c>
      <c r="E61" t="s">
        <v>123</v>
      </c>
    </row>
    <row r="62" spans="1:5" ht="14.25" x14ac:dyDescent="0.45">
      <c r="A62" s="6" t="s">
        <v>124</v>
      </c>
      <c r="B62" s="7"/>
      <c r="C62" s="7"/>
      <c r="D62" s="7"/>
      <c r="E62" s="7"/>
    </row>
    <row r="63" spans="1:5" x14ac:dyDescent="0.35">
      <c r="A63" t="s">
        <v>125</v>
      </c>
      <c r="B63" s="16">
        <v>8</v>
      </c>
      <c r="C63" t="s">
        <v>126</v>
      </c>
      <c r="D63" t="s">
        <v>50</v>
      </c>
      <c r="E63" t="s">
        <v>127</v>
      </c>
    </row>
    <row r="64" spans="1:5" x14ac:dyDescent="0.35">
      <c r="A64" t="s">
        <v>128</v>
      </c>
      <c r="B64" s="20">
        <v>30000</v>
      </c>
      <c r="C64" t="s">
        <v>117</v>
      </c>
      <c r="D64" t="s">
        <v>50</v>
      </c>
      <c r="E64" t="s">
        <v>54</v>
      </c>
    </row>
    <row r="65" spans="1:5" x14ac:dyDescent="0.35">
      <c r="A65" t="s">
        <v>129</v>
      </c>
      <c r="B65" s="20">
        <v>8000</v>
      </c>
      <c r="C65" t="s">
        <v>117</v>
      </c>
      <c r="D65" t="s">
        <v>50</v>
      </c>
      <c r="E65" t="s">
        <v>54</v>
      </c>
    </row>
    <row r="66" spans="1:5" x14ac:dyDescent="0.35">
      <c r="A66" t="s">
        <v>130</v>
      </c>
      <c r="B66" s="21">
        <v>15</v>
      </c>
      <c r="C66" t="s">
        <v>131</v>
      </c>
      <c r="D66" t="s">
        <v>50</v>
      </c>
      <c r="E66" t="s">
        <v>54</v>
      </c>
    </row>
    <row r="67" spans="1:5" x14ac:dyDescent="0.35">
      <c r="A67" t="s">
        <v>132</v>
      </c>
      <c r="B67" s="16">
        <v>50</v>
      </c>
      <c r="C67" t="s">
        <v>133</v>
      </c>
      <c r="D67" t="s">
        <v>50</v>
      </c>
      <c r="E67" t="s">
        <v>54</v>
      </c>
    </row>
    <row r="68" spans="1:5" x14ac:dyDescent="0.35">
      <c r="A68" t="s">
        <v>134</v>
      </c>
      <c r="B68" s="20">
        <v>3000</v>
      </c>
      <c r="C68" t="s">
        <v>135</v>
      </c>
      <c r="D68" t="s">
        <v>50</v>
      </c>
      <c r="E68" t="s">
        <v>54</v>
      </c>
    </row>
    <row r="69" spans="1:5" x14ac:dyDescent="0.35">
      <c r="A69" t="s">
        <v>136</v>
      </c>
      <c r="B69" s="20">
        <v>10000</v>
      </c>
      <c r="C69" t="s">
        <v>117</v>
      </c>
      <c r="D69" t="s">
        <v>50</v>
      </c>
      <c r="E69" t="s">
        <v>54</v>
      </c>
    </row>
    <row r="70" spans="1:5" ht="14.25" x14ac:dyDescent="0.45">
      <c r="A70" s="6" t="s">
        <v>137</v>
      </c>
      <c r="B70" s="7"/>
      <c r="C70" s="7"/>
      <c r="D70" s="7"/>
      <c r="E70" s="7"/>
    </row>
    <row r="71" spans="1:5" x14ac:dyDescent="0.35">
      <c r="A71" t="s">
        <v>138</v>
      </c>
      <c r="B71" s="10">
        <v>0.7</v>
      </c>
      <c r="C71" t="s">
        <v>46</v>
      </c>
      <c r="D71" t="s">
        <v>50</v>
      </c>
      <c r="E71" t="s">
        <v>139</v>
      </c>
    </row>
    <row r="73" spans="1:5" x14ac:dyDescent="0.35">
      <c r="A73" s="38" t="s">
        <v>316</v>
      </c>
    </row>
    <row r="74" spans="1:5" x14ac:dyDescent="0.35">
      <c r="A74" t="s">
        <v>317</v>
      </c>
      <c r="B74" s="39">
        <v>1</v>
      </c>
      <c r="C74" t="s">
        <v>46</v>
      </c>
      <c r="D74" t="s">
        <v>50</v>
      </c>
      <c r="E74" t="s">
        <v>318</v>
      </c>
    </row>
    <row r="75" spans="1:5" x14ac:dyDescent="0.35">
      <c r="A75" t="s">
        <v>319</v>
      </c>
      <c r="B75" s="40">
        <v>0.03</v>
      </c>
      <c r="C75" t="s">
        <v>46</v>
      </c>
      <c r="D75" t="s">
        <v>50</v>
      </c>
      <c r="E75" t="s">
        <v>320</v>
      </c>
    </row>
    <row r="76" spans="1:5" x14ac:dyDescent="0.35">
      <c r="A76" t="s">
        <v>321</v>
      </c>
      <c r="B76" s="40">
        <v>0.06</v>
      </c>
      <c r="C76" t="s">
        <v>46</v>
      </c>
      <c r="D76" t="s">
        <v>50</v>
      </c>
      <c r="E76" t="s">
        <v>322</v>
      </c>
    </row>
    <row r="77" spans="1:5" x14ac:dyDescent="0.35">
      <c r="A77" t="s">
        <v>386</v>
      </c>
      <c r="B77" s="50">
        <f>300000000/('Market — TopDown'!$B$23*'Client — Summary'!$E$17)</f>
        <v>0.19893060002052326</v>
      </c>
      <c r="C77" t="s">
        <v>46</v>
      </c>
      <c r="D77" t="s">
        <v>350</v>
      </c>
      <c r="E77" t="s">
        <v>387</v>
      </c>
    </row>
    <row r="78" spans="1:5" x14ac:dyDescent="0.35">
      <c r="A78" t="s">
        <v>323</v>
      </c>
      <c r="B78" s="39">
        <v>0.2</v>
      </c>
      <c r="C78" t="s">
        <v>46</v>
      </c>
      <c r="D78" t="s">
        <v>50</v>
      </c>
      <c r="E78" t="s">
        <v>324</v>
      </c>
    </row>
    <row r="79" spans="1:5" x14ac:dyDescent="0.35">
      <c r="A79" t="s">
        <v>325</v>
      </c>
      <c r="B79" s="41">
        <v>12</v>
      </c>
      <c r="C79" t="s">
        <v>126</v>
      </c>
      <c r="D79" t="s">
        <v>50</v>
      </c>
      <c r="E79" t="s">
        <v>326</v>
      </c>
    </row>
    <row r="81" spans="1:5" x14ac:dyDescent="0.35">
      <c r="A81" t="s">
        <v>364</v>
      </c>
      <c r="B81" s="54">
        <v>0.125</v>
      </c>
      <c r="C81" t="s">
        <v>46</v>
      </c>
      <c r="D81" t="s">
        <v>32</v>
      </c>
      <c r="E81" t="s">
        <v>360</v>
      </c>
    </row>
    <row r="82" spans="1:5" x14ac:dyDescent="0.35">
      <c r="A82" t="s">
        <v>388</v>
      </c>
      <c r="B82" s="50">
        <f>600000000/('Market — TopDown'!$B$23*'Client — Summary'!$E$17)</f>
        <v>0.39786120004104653</v>
      </c>
      <c r="D82" t="s">
        <v>350</v>
      </c>
      <c r="E82" t="s">
        <v>389</v>
      </c>
    </row>
    <row r="83" spans="1:5" x14ac:dyDescent="0.35">
      <c r="A83" t="s">
        <v>390</v>
      </c>
      <c r="B83" s="50">
        <f>1200000000/('Market — TopDown'!$B$23*'Client — Summary'!$E$17)</f>
        <v>0.79572240008209305</v>
      </c>
      <c r="D83" t="s">
        <v>350</v>
      </c>
      <c r="E83" t="s">
        <v>391</v>
      </c>
    </row>
    <row r="84" spans="1:5" x14ac:dyDescent="0.35">
      <c r="A84" t="s">
        <v>406</v>
      </c>
      <c r="B84" s="41">
        <v>20</v>
      </c>
      <c r="C84" t="s">
        <v>126</v>
      </c>
      <c r="D84" t="s">
        <v>50</v>
      </c>
      <c r="E84" t="s">
        <v>407</v>
      </c>
    </row>
    <row r="85" spans="1:5" x14ac:dyDescent="0.35">
      <c r="A85" t="s">
        <v>408</v>
      </c>
      <c r="B85" s="41">
        <v>35</v>
      </c>
      <c r="C85" t="s">
        <v>126</v>
      </c>
      <c r="D85" t="s">
        <v>50</v>
      </c>
      <c r="E85" t="s">
        <v>409</v>
      </c>
    </row>
    <row r="87" spans="1:5" x14ac:dyDescent="0.35">
      <c r="A87" s="38" t="s">
        <v>421</v>
      </c>
      <c r="B87" s="61"/>
      <c r="C87" s="61"/>
      <c r="D87" s="61"/>
      <c r="E87" s="61"/>
    </row>
    <row r="88" spans="1:5" x14ac:dyDescent="0.35">
      <c r="A88" t="s">
        <v>422</v>
      </c>
      <c r="B88" s="63">
        <v>0.16270000000000001</v>
      </c>
      <c r="C88" t="s">
        <v>46</v>
      </c>
      <c r="D88" t="s">
        <v>32</v>
      </c>
      <c r="E88" t="s">
        <v>423</v>
      </c>
    </row>
    <row r="89" spans="1:5" x14ac:dyDescent="0.35">
      <c r="A89" t="s">
        <v>424</v>
      </c>
      <c r="B89" s="63">
        <v>8.9200000000000002E-2</v>
      </c>
      <c r="C89" t="s">
        <v>46</v>
      </c>
      <c r="D89" t="s">
        <v>32</v>
      </c>
      <c r="E89" t="s">
        <v>425</v>
      </c>
    </row>
    <row r="90" spans="1:5" x14ac:dyDescent="0.35">
      <c r="A90" t="s">
        <v>426</v>
      </c>
      <c r="B90" s="63">
        <v>6.7000000000000004E-2</v>
      </c>
      <c r="C90" t="s">
        <v>70</v>
      </c>
      <c r="D90" t="s">
        <v>32</v>
      </c>
      <c r="E90" t="s">
        <v>427</v>
      </c>
    </row>
    <row r="92" spans="1:5" x14ac:dyDescent="0.35">
      <c r="A92" s="38" t="s">
        <v>428</v>
      </c>
      <c r="B92" s="61"/>
      <c r="C92" s="61"/>
      <c r="D92" s="61"/>
      <c r="E92" s="61"/>
    </row>
    <row r="93" spans="1:5" x14ac:dyDescent="0.35">
      <c r="A93" s="64" t="s">
        <v>429</v>
      </c>
    </row>
    <row r="94" spans="1:5" x14ac:dyDescent="0.35">
      <c r="A94" s="64" t="s">
        <v>430</v>
      </c>
    </row>
    <row r="95" spans="1:5" x14ac:dyDescent="0.35">
      <c r="A95" s="65" t="s">
        <v>431</v>
      </c>
    </row>
    <row r="97" spans="1:5" x14ac:dyDescent="0.35">
      <c r="A97" s="38" t="s">
        <v>468</v>
      </c>
      <c r="B97" s="61"/>
      <c r="C97" s="61"/>
      <c r="D97" s="61"/>
      <c r="E97" s="61"/>
    </row>
    <row r="98" spans="1:5" x14ac:dyDescent="0.35">
      <c r="A98" t="s">
        <v>469</v>
      </c>
      <c r="B98" s="41">
        <f>Assumptions!$B$67*(Assumptions!$B$44/Assumptions!$B$39)</f>
        <v>250</v>
      </c>
      <c r="C98" t="s">
        <v>133</v>
      </c>
      <c r="D98" t="s">
        <v>470</v>
      </c>
      <c r="E98" t="s">
        <v>471</v>
      </c>
    </row>
    <row r="99" spans="1:5" x14ac:dyDescent="0.35">
      <c r="A99" t="s">
        <v>472</v>
      </c>
      <c r="B99" s="41">
        <f>Assumptions!$B$67*(Assumptions!$B$49/Assumptions!$B$39)</f>
        <v>666.66666666666674</v>
      </c>
      <c r="C99" t="s">
        <v>133</v>
      </c>
      <c r="D99" t="s">
        <v>470</v>
      </c>
      <c r="E99" t="s">
        <v>471</v>
      </c>
    </row>
    <row r="101" spans="1:5" x14ac:dyDescent="0.35">
      <c r="A101" s="38" t="s">
        <v>473</v>
      </c>
      <c r="B101" s="61"/>
      <c r="C101" s="61"/>
      <c r="D101" s="61"/>
      <c r="E101" s="61"/>
    </row>
    <row r="102" spans="1:5" x14ac:dyDescent="0.35">
      <c r="A102" t="s">
        <v>474</v>
      </c>
      <c r="B102" s="70">
        <f>4*32</f>
        <v>128</v>
      </c>
      <c r="C102" t="s">
        <v>475</v>
      </c>
      <c r="D102" t="s">
        <v>32</v>
      </c>
      <c r="E102" t="s">
        <v>476</v>
      </c>
    </row>
    <row r="104" spans="1:5" x14ac:dyDescent="0.35">
      <c r="A104" s="38" t="s">
        <v>530</v>
      </c>
      <c r="B104" s="61"/>
      <c r="C104" s="61"/>
      <c r="D104" s="61"/>
      <c r="E104" s="61"/>
    </row>
    <row r="105" spans="1:5" x14ac:dyDescent="0.35">
      <c r="A105" t="s">
        <v>531</v>
      </c>
      <c r="B105" s="86">
        <v>1.99</v>
      </c>
      <c r="C105" t="s">
        <v>532</v>
      </c>
      <c r="D105" t="s">
        <v>32</v>
      </c>
      <c r="E105" t="s">
        <v>533</v>
      </c>
    </row>
    <row r="106" spans="1:5" x14ac:dyDescent="0.35">
      <c r="A106" t="s">
        <v>534</v>
      </c>
      <c r="B106" s="87">
        <v>0.11</v>
      </c>
      <c r="C106" t="s">
        <v>532</v>
      </c>
      <c r="D106" t="s">
        <v>50</v>
      </c>
      <c r="E106" t="s">
        <v>535</v>
      </c>
    </row>
    <row r="107" spans="1:5" x14ac:dyDescent="0.35">
      <c r="A107" t="s">
        <v>536</v>
      </c>
      <c r="B107" s="88">
        <v>2400</v>
      </c>
      <c r="C107" t="s">
        <v>537</v>
      </c>
      <c r="D107" t="s">
        <v>32</v>
      </c>
      <c r="E107" t="s">
        <v>538</v>
      </c>
    </row>
    <row r="108" spans="1:5" x14ac:dyDescent="0.35">
      <c r="A108" t="s">
        <v>539</v>
      </c>
    </row>
    <row r="109" spans="1:5" x14ac:dyDescent="0.35">
      <c r="A109" t="s">
        <v>540</v>
      </c>
      <c r="B109" s="89">
        <v>0.2</v>
      </c>
      <c r="C109" t="s">
        <v>46</v>
      </c>
      <c r="D109" t="s">
        <v>541</v>
      </c>
      <c r="E109" t="s">
        <v>542</v>
      </c>
    </row>
    <row r="110" spans="1:5" x14ac:dyDescent="0.35">
      <c r="A110" t="s">
        <v>543</v>
      </c>
      <c r="B110" s="89">
        <v>0.2</v>
      </c>
      <c r="C110" t="s">
        <v>46</v>
      </c>
      <c r="D110" t="s">
        <v>544</v>
      </c>
      <c r="E110" t="s">
        <v>545</v>
      </c>
    </row>
    <row r="111" spans="1:5" x14ac:dyDescent="0.35">
      <c r="A111" t="s">
        <v>553</v>
      </c>
      <c r="B111" s="90">
        <v>0.35</v>
      </c>
      <c r="C111" t="s">
        <v>554</v>
      </c>
      <c r="D111" t="s">
        <v>551</v>
      </c>
      <c r="E111" t="s">
        <v>555</v>
      </c>
    </row>
    <row r="112" spans="1:5" x14ac:dyDescent="0.35">
      <c r="A112" s="38" t="s">
        <v>546</v>
      </c>
      <c r="B112" s="61"/>
      <c r="C112" s="61"/>
      <c r="D112" s="61"/>
      <c r="E112" s="61"/>
    </row>
    <row r="113" spans="1:6" x14ac:dyDescent="0.35">
      <c r="A113" t="s">
        <v>547</v>
      </c>
      <c r="B113" s="89">
        <v>0.08</v>
      </c>
      <c r="C113" t="s">
        <v>46</v>
      </c>
      <c r="D113" t="s">
        <v>548</v>
      </c>
      <c r="E113" t="s">
        <v>549</v>
      </c>
    </row>
    <row r="114" spans="1:6" x14ac:dyDescent="0.35">
      <c r="A114" t="s">
        <v>550</v>
      </c>
      <c r="B114" s="89">
        <v>0.03</v>
      </c>
      <c r="C114" t="s">
        <v>46</v>
      </c>
      <c r="D114" t="s">
        <v>551</v>
      </c>
      <c r="E114" t="s">
        <v>552</v>
      </c>
    </row>
    <row r="116" spans="1:6" x14ac:dyDescent="0.35">
      <c r="A116" s="38" t="s">
        <v>583</v>
      </c>
      <c r="B116" s="61"/>
      <c r="C116" s="61"/>
      <c r="D116" s="61"/>
      <c r="E116" s="61"/>
    </row>
    <row r="117" spans="1:6" x14ac:dyDescent="0.35">
      <c r="A117" t="s">
        <v>584</v>
      </c>
      <c r="B117" s="100">
        <v>2</v>
      </c>
      <c r="C117" t="s">
        <v>58</v>
      </c>
      <c r="D117" t="s">
        <v>551</v>
      </c>
      <c r="E117" s="79" t="s">
        <v>585</v>
      </c>
    </row>
    <row r="119" spans="1:6" x14ac:dyDescent="0.35">
      <c r="A119" s="38" t="s">
        <v>631</v>
      </c>
      <c r="B119" s="61"/>
      <c r="C119" s="61"/>
      <c r="D119" s="61"/>
      <c r="E119" s="61"/>
    </row>
    <row r="120" spans="1:6" x14ac:dyDescent="0.35">
      <c r="A120" s="37" t="s">
        <v>24</v>
      </c>
      <c r="B120" s="103" t="s">
        <v>206</v>
      </c>
      <c r="C120" s="82" t="s">
        <v>53</v>
      </c>
      <c r="D120" s="103" t="s">
        <v>207</v>
      </c>
      <c r="E120" t="s">
        <v>632</v>
      </c>
    </row>
    <row r="121" spans="1:6" x14ac:dyDescent="0.35">
      <c r="A121" t="s">
        <v>633</v>
      </c>
      <c r="B121" s="110">
        <v>1</v>
      </c>
      <c r="C121" s="110">
        <v>1</v>
      </c>
      <c r="D121" s="110">
        <v>2</v>
      </c>
      <c r="E121" t="s">
        <v>634</v>
      </c>
    </row>
    <row r="122" spans="1:6" x14ac:dyDescent="0.35">
      <c r="A122" t="s">
        <v>635</v>
      </c>
      <c r="B122" s="110">
        <v>1</v>
      </c>
      <c r="C122" s="110">
        <v>2</v>
      </c>
      <c r="D122" s="110">
        <v>4</v>
      </c>
    </row>
    <row r="123" spans="1:6" x14ac:dyDescent="0.35">
      <c r="A123" t="s">
        <v>636</v>
      </c>
      <c r="B123" s="110">
        <v>1</v>
      </c>
      <c r="C123" s="110">
        <v>3</v>
      </c>
      <c r="D123" s="110">
        <v>6</v>
      </c>
    </row>
    <row r="124" spans="1:6" x14ac:dyDescent="0.35">
      <c r="A124" t="s">
        <v>637</v>
      </c>
      <c r="B124" s="110">
        <v>5</v>
      </c>
      <c r="C124" s="110">
        <v>8</v>
      </c>
      <c r="D124" s="110">
        <v>12</v>
      </c>
      <c r="E124" t="s">
        <v>638</v>
      </c>
    </row>
    <row r="125" spans="1:6" x14ac:dyDescent="0.35">
      <c r="A125" t="s">
        <v>639</v>
      </c>
      <c r="B125" s="89">
        <v>0.03</v>
      </c>
      <c r="C125" s="89">
        <v>0.06</v>
      </c>
      <c r="D125" s="89">
        <v>0.1</v>
      </c>
      <c r="E125" t="s">
        <v>640</v>
      </c>
    </row>
    <row r="126" spans="1:6" x14ac:dyDescent="0.35">
      <c r="A126" t="s">
        <v>641</v>
      </c>
      <c r="B126" s="89">
        <v>0.25</v>
      </c>
      <c r="C126" s="89">
        <v>0.15</v>
      </c>
      <c r="D126" s="89">
        <v>0.08</v>
      </c>
      <c r="E126" t="s">
        <v>642</v>
      </c>
    </row>
    <row r="128" spans="1:6" x14ac:dyDescent="0.35">
      <c r="A128" s="38" t="s">
        <v>671</v>
      </c>
      <c r="B128" s="61"/>
      <c r="C128" s="61"/>
      <c r="D128" s="61"/>
      <c r="E128" s="61"/>
      <c r="F128" s="61"/>
    </row>
    <row r="129" spans="1:6" x14ac:dyDescent="0.35">
      <c r="A129" t="s">
        <v>672</v>
      </c>
      <c r="B129" s="115">
        <v>2990</v>
      </c>
      <c r="C129" t="s">
        <v>117</v>
      </c>
      <c r="D129" t="s">
        <v>551</v>
      </c>
      <c r="E129" t="s">
        <v>673</v>
      </c>
    </row>
    <row r="130" spans="1:6" x14ac:dyDescent="0.35">
      <c r="A130" t="s">
        <v>674</v>
      </c>
      <c r="B130" s="44">
        <f>Assumptions!$B$55</f>
        <v>5000</v>
      </c>
    </row>
    <row r="132" spans="1:6" x14ac:dyDescent="0.35">
      <c r="A132" s="38" t="s">
        <v>675</v>
      </c>
      <c r="B132" s="71" t="s">
        <v>589</v>
      </c>
      <c r="C132" s="71" t="s">
        <v>590</v>
      </c>
      <c r="D132" s="71" t="s">
        <v>591</v>
      </c>
      <c r="E132" s="71" t="s">
        <v>592</v>
      </c>
      <c r="F132" s="71" t="s">
        <v>593</v>
      </c>
    </row>
    <row r="133" spans="1:6" x14ac:dyDescent="0.35">
      <c r="A133" t="s">
        <v>676</v>
      </c>
      <c r="B133" s="89">
        <v>0.9</v>
      </c>
      <c r="C133" s="89">
        <v>0.75</v>
      </c>
      <c r="D133" s="95">
        <f>Assumptions!$B$59</f>
        <v>0.6</v>
      </c>
      <c r="E133" s="89">
        <v>0.5</v>
      </c>
      <c r="F133" s="89">
        <v>0.45</v>
      </c>
    </row>
    <row r="134" spans="1:6" x14ac:dyDescent="0.35">
      <c r="A134" t="s">
        <v>677</v>
      </c>
      <c r="B134" s="89">
        <v>0.1</v>
      </c>
      <c r="C134" s="89">
        <v>0.2</v>
      </c>
      <c r="D134" s="95">
        <f>Assumptions!$B$60</f>
        <v>0.25</v>
      </c>
      <c r="E134" s="89">
        <v>0.3</v>
      </c>
      <c r="F134" s="89">
        <v>0.3</v>
      </c>
    </row>
    <row r="135" spans="1:6" x14ac:dyDescent="0.35">
      <c r="A135" t="s">
        <v>678</v>
      </c>
      <c r="B135" s="95">
        <f>1-B133-B134</f>
        <v>0</v>
      </c>
      <c r="C135" s="95">
        <f>1-C133-C134</f>
        <v>4.9999999999999989E-2</v>
      </c>
      <c r="D135" s="95">
        <f>Assumptions!$B$61</f>
        <v>0.15</v>
      </c>
      <c r="E135" s="95">
        <f>1-E133-E134</f>
        <v>0.2</v>
      </c>
      <c r="F135" s="95">
        <f>1-F133-F134</f>
        <v>0.25000000000000006</v>
      </c>
    </row>
    <row r="136" spans="1:6" x14ac:dyDescent="0.35">
      <c r="A136" t="s">
        <v>679</v>
      </c>
    </row>
    <row r="138" spans="1:6" x14ac:dyDescent="0.35">
      <c r="A138" s="38" t="s">
        <v>685</v>
      </c>
      <c r="B138" s="61"/>
      <c r="C138" s="61"/>
      <c r="D138" s="61"/>
      <c r="E138" s="61"/>
    </row>
    <row r="139" spans="1:6" x14ac:dyDescent="0.35">
      <c r="A139" s="37" t="s">
        <v>24</v>
      </c>
      <c r="B139" s="103" t="s">
        <v>206</v>
      </c>
      <c r="C139" s="103" t="s">
        <v>53</v>
      </c>
      <c r="D139" s="103" t="s">
        <v>207</v>
      </c>
      <c r="E139" s="103" t="s">
        <v>632</v>
      </c>
    </row>
    <row r="140" spans="1:6" x14ac:dyDescent="0.35">
      <c r="A140" t="s">
        <v>686</v>
      </c>
      <c r="B140" s="110">
        <v>1000</v>
      </c>
      <c r="C140" s="110">
        <v>3000</v>
      </c>
      <c r="D140" s="110">
        <v>8000</v>
      </c>
      <c r="E140" t="s">
        <v>694</v>
      </c>
    </row>
    <row r="141" spans="1:6" x14ac:dyDescent="0.35">
      <c r="A141" t="s">
        <v>687</v>
      </c>
      <c r="B141" s="89">
        <v>0.01</v>
      </c>
      <c r="C141" s="89">
        <v>0.03</v>
      </c>
      <c r="D141" s="89">
        <v>0.06</v>
      </c>
      <c r="E141" t="s">
        <v>688</v>
      </c>
    </row>
  </sheetData>
  <dataValidations count="1">
    <dataValidation type="list" sqref="B16" xr:uid="{00000000-0002-0000-0100-000000000000}">
      <formula1>"Worst,Base,Best"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2219-D332-410E-B9D6-C54CAEF5D3E9}">
  <dimension ref="A1:E38"/>
  <sheetViews>
    <sheetView showGridLines="0" workbookViewId="0">
      <pane ySplit="4" topLeftCell="A5" activePane="bottomLeft" state="frozen"/>
      <selection pane="bottomLeft" activeCell="B20" sqref="B20"/>
    </sheetView>
  </sheetViews>
  <sheetFormatPr defaultRowHeight="13.5" x14ac:dyDescent="0.35"/>
  <cols>
    <col min="1" max="1" width="53.3125" customWidth="1"/>
    <col min="2" max="4" width="18.3125" customWidth="1"/>
    <col min="5" max="5" width="70" customWidth="1"/>
  </cols>
  <sheetData>
    <row r="1" spans="1:5" ht="18" x14ac:dyDescent="0.55000000000000004">
      <c r="A1" s="4" t="s">
        <v>643</v>
      </c>
    </row>
    <row r="2" spans="1:5" x14ac:dyDescent="0.35">
      <c r="A2" s="3" t="s">
        <v>644</v>
      </c>
    </row>
    <row r="4" spans="1:5" ht="15" x14ac:dyDescent="0.4">
      <c r="A4" s="67" t="s">
        <v>645</v>
      </c>
      <c r="B4" s="68"/>
      <c r="C4" s="68"/>
      <c r="D4" s="68"/>
      <c r="E4" s="68"/>
    </row>
    <row r="5" spans="1:5" x14ac:dyDescent="0.35">
      <c r="A5" s="38" t="s">
        <v>24</v>
      </c>
      <c r="B5" s="71" t="s">
        <v>589</v>
      </c>
      <c r="C5" s="71" t="s">
        <v>590</v>
      </c>
      <c r="D5" s="71" t="s">
        <v>591</v>
      </c>
      <c r="E5" s="71" t="s">
        <v>646</v>
      </c>
    </row>
    <row r="6" spans="1:5" x14ac:dyDescent="0.35">
      <c r="A6" t="s">
        <v>647</v>
      </c>
      <c r="B6" s="111">
        <f>Assumptions!$B$121</f>
        <v>1</v>
      </c>
      <c r="C6" s="111">
        <f>Assumptions!$B$122</f>
        <v>1</v>
      </c>
      <c r="D6" s="111">
        <f>Assumptions!$B$123</f>
        <v>1</v>
      </c>
      <c r="E6" t="s">
        <v>648</v>
      </c>
    </row>
    <row r="7" spans="1:5" x14ac:dyDescent="0.35">
      <c r="A7" t="s">
        <v>649</v>
      </c>
      <c r="B7" s="111">
        <f>Assumptions!$B$124</f>
        <v>5</v>
      </c>
      <c r="C7" s="111">
        <f>Assumptions!$B$124</f>
        <v>5</v>
      </c>
      <c r="D7" s="111">
        <f>Assumptions!$B$124</f>
        <v>5</v>
      </c>
    </row>
    <row r="8" spans="1:5" x14ac:dyDescent="0.35">
      <c r="A8" t="s">
        <v>650</v>
      </c>
      <c r="B8" s="95">
        <f>Assumptions!$B$125</f>
        <v>0.03</v>
      </c>
      <c r="C8" s="95">
        <f>Assumptions!$B$125</f>
        <v>0.03</v>
      </c>
      <c r="D8" s="95">
        <f>Assumptions!$B$125</f>
        <v>0.03</v>
      </c>
    </row>
    <row r="9" spans="1:5" x14ac:dyDescent="0.35">
      <c r="A9" s="37" t="s">
        <v>693</v>
      </c>
      <c r="B9" s="112">
        <f>B6*B7*12*B8+$B$38</f>
        <v>121.8</v>
      </c>
      <c r="C9" s="112">
        <f>C6*C7*12*C8+$B$38</f>
        <v>121.8</v>
      </c>
      <c r="D9" s="112">
        <f>D6*D7*12*D8+$B$38</f>
        <v>121.8</v>
      </c>
    </row>
    <row r="10" spans="1:5" x14ac:dyDescent="0.35">
      <c r="A10" t="s">
        <v>651</v>
      </c>
      <c r="B10" s="73">
        <f>0</f>
        <v>0</v>
      </c>
      <c r="C10" s="73">
        <f>B12*(1-Assumptions!$B$126)</f>
        <v>91.5</v>
      </c>
      <c r="D10" s="73">
        <f>C12*(1-Assumptions!$B$126)</f>
        <v>159.75</v>
      </c>
    </row>
    <row r="11" spans="1:5" x14ac:dyDescent="0.35">
      <c r="A11" t="s">
        <v>652</v>
      </c>
      <c r="B11" s="95">
        <f>Assumptions!$B$126</f>
        <v>0.25</v>
      </c>
      <c r="C11" s="95">
        <f>Assumptions!$B$126</f>
        <v>0.25</v>
      </c>
      <c r="D11" s="95">
        <f>Assumptions!$B$126</f>
        <v>0.25</v>
      </c>
    </row>
    <row r="12" spans="1:5" x14ac:dyDescent="0.35">
      <c r="A12" s="74" t="s">
        <v>653</v>
      </c>
      <c r="B12" s="113">
        <f>ROUND(B10+B9,0)</f>
        <v>122</v>
      </c>
      <c r="C12" s="113">
        <f>ROUND(C10+C9,0)</f>
        <v>213</v>
      </c>
      <c r="D12" s="113">
        <f>ROUND(D10+D9,0)</f>
        <v>282</v>
      </c>
    </row>
    <row r="14" spans="1:5" ht="15" x14ac:dyDescent="0.4">
      <c r="A14" s="67" t="s">
        <v>654</v>
      </c>
      <c r="B14" s="68"/>
      <c r="C14" s="68"/>
      <c r="D14" s="68"/>
      <c r="E14" s="68"/>
    </row>
    <row r="15" spans="1:5" x14ac:dyDescent="0.35">
      <c r="A15" s="38" t="s">
        <v>24</v>
      </c>
      <c r="B15" s="71" t="s">
        <v>589</v>
      </c>
      <c r="C15" s="71" t="s">
        <v>590</v>
      </c>
      <c r="D15" s="71" t="s">
        <v>591</v>
      </c>
    </row>
    <row r="16" spans="1:5" x14ac:dyDescent="0.35">
      <c r="A16" t="s">
        <v>647</v>
      </c>
      <c r="B16" s="111">
        <f>Assumptions!$C$121</f>
        <v>1</v>
      </c>
      <c r="C16" s="111">
        <f>Assumptions!$C$122</f>
        <v>2</v>
      </c>
      <c r="D16" s="111">
        <f>Assumptions!$C$123</f>
        <v>3</v>
      </c>
    </row>
    <row r="17" spans="1:5" x14ac:dyDescent="0.35">
      <c r="A17" t="s">
        <v>649</v>
      </c>
      <c r="B17" s="111">
        <f>Assumptions!$C$124</f>
        <v>8</v>
      </c>
      <c r="C17" s="111">
        <f>Assumptions!$C$124</f>
        <v>8</v>
      </c>
      <c r="D17" s="111">
        <f>Assumptions!$C$124</f>
        <v>8</v>
      </c>
    </row>
    <row r="18" spans="1:5" x14ac:dyDescent="0.35">
      <c r="A18" t="s">
        <v>650</v>
      </c>
      <c r="B18" s="95">
        <f>Assumptions!$C$125</f>
        <v>0.06</v>
      </c>
      <c r="C18" s="95">
        <f>Assumptions!$C$125</f>
        <v>0.06</v>
      </c>
      <c r="D18" s="95">
        <f>Assumptions!$C$125</f>
        <v>0.06</v>
      </c>
    </row>
    <row r="19" spans="1:5" x14ac:dyDescent="0.35">
      <c r="A19" s="37" t="s">
        <v>693</v>
      </c>
      <c r="B19" s="112">
        <f>B16*B17*12*B18+$C$38</f>
        <v>1085.76</v>
      </c>
      <c r="C19" s="112">
        <f>C16*C17*12*C18+$C$38</f>
        <v>1091.52</v>
      </c>
      <c r="D19" s="112">
        <f>D16*D17*12*D18+$C$38</f>
        <v>1097.28</v>
      </c>
    </row>
    <row r="20" spans="1:5" x14ac:dyDescent="0.35">
      <c r="A20" t="s">
        <v>651</v>
      </c>
      <c r="B20" s="73">
        <f>0</f>
        <v>0</v>
      </c>
      <c r="C20" s="73">
        <f>B22*(1-Assumptions!$C$126)</f>
        <v>923.1</v>
      </c>
      <c r="D20" s="73">
        <f>C22*(1-Assumptions!$C$126)</f>
        <v>1712.75</v>
      </c>
    </row>
    <row r="21" spans="1:5" x14ac:dyDescent="0.35">
      <c r="A21" t="s">
        <v>652</v>
      </c>
      <c r="B21" s="95">
        <f>Assumptions!$C$126</f>
        <v>0.15</v>
      </c>
      <c r="C21" s="95">
        <f>Assumptions!$C$126</f>
        <v>0.15</v>
      </c>
      <c r="D21" s="95">
        <f>Assumptions!$C$126</f>
        <v>0.15</v>
      </c>
    </row>
    <row r="22" spans="1:5" x14ac:dyDescent="0.35">
      <c r="A22" s="74" t="s">
        <v>655</v>
      </c>
      <c r="B22" s="113">
        <f>ROUND(B20+B19,0)</f>
        <v>1086</v>
      </c>
      <c r="C22" s="113">
        <f>ROUND(C20+C19,0)</f>
        <v>2015</v>
      </c>
      <c r="D22" s="113">
        <f>ROUND(D20+D19,0)</f>
        <v>2810</v>
      </c>
    </row>
    <row r="24" spans="1:5" ht="15" x14ac:dyDescent="0.4">
      <c r="A24" s="67" t="s">
        <v>656</v>
      </c>
      <c r="B24" s="68"/>
      <c r="C24" s="68"/>
      <c r="D24" s="68"/>
      <c r="E24" s="68"/>
    </row>
    <row r="25" spans="1:5" x14ac:dyDescent="0.35">
      <c r="A25" s="38" t="s">
        <v>24</v>
      </c>
      <c r="B25" s="71" t="s">
        <v>589</v>
      </c>
      <c r="C25" s="71" t="s">
        <v>590</v>
      </c>
      <c r="D25" s="71" t="s">
        <v>591</v>
      </c>
    </row>
    <row r="26" spans="1:5" x14ac:dyDescent="0.35">
      <c r="A26" t="s">
        <v>647</v>
      </c>
      <c r="B26" s="111">
        <f>Assumptions!$D$121</f>
        <v>2</v>
      </c>
      <c r="C26" s="111">
        <f>Assumptions!$D$122</f>
        <v>4</v>
      </c>
      <c r="D26" s="111">
        <f>Assumptions!$D$123</f>
        <v>6</v>
      </c>
    </row>
    <row r="27" spans="1:5" x14ac:dyDescent="0.35">
      <c r="A27" t="s">
        <v>649</v>
      </c>
      <c r="B27" s="111">
        <f>Assumptions!$D$124</f>
        <v>12</v>
      </c>
      <c r="C27" s="111">
        <f>Assumptions!$D$124</f>
        <v>12</v>
      </c>
      <c r="D27" s="111">
        <f>Assumptions!$D$124</f>
        <v>12</v>
      </c>
    </row>
    <row r="28" spans="1:5" x14ac:dyDescent="0.35">
      <c r="A28" t="s">
        <v>650</v>
      </c>
      <c r="B28" s="95">
        <f>Assumptions!$D$125</f>
        <v>0.1</v>
      </c>
      <c r="C28" s="95">
        <f>Assumptions!$D$125</f>
        <v>0.1</v>
      </c>
      <c r="D28" s="95">
        <f>Assumptions!$D$125</f>
        <v>0.1</v>
      </c>
    </row>
    <row r="29" spans="1:5" x14ac:dyDescent="0.35">
      <c r="A29" s="37" t="s">
        <v>693</v>
      </c>
      <c r="B29" s="112">
        <f>B26*B27*12*B28+$D$38</f>
        <v>5788.8</v>
      </c>
      <c r="C29" s="112">
        <f>C26*C27*12*C28+$D$38</f>
        <v>5817.6</v>
      </c>
      <c r="D29" s="112">
        <f>D26*D27*12*D28+$D$38</f>
        <v>5846.4</v>
      </c>
    </row>
    <row r="30" spans="1:5" x14ac:dyDescent="0.35">
      <c r="A30" t="s">
        <v>651</v>
      </c>
      <c r="B30" s="73">
        <f>0</f>
        <v>0</v>
      </c>
      <c r="C30" s="73">
        <f>B32*(1-Assumptions!$D$126)</f>
        <v>5325.88</v>
      </c>
      <c r="D30" s="73">
        <f>C32*(1-Assumptions!$D$126)</f>
        <v>10251.560000000001</v>
      </c>
    </row>
    <row r="31" spans="1:5" x14ac:dyDescent="0.35">
      <c r="A31" t="s">
        <v>652</v>
      </c>
      <c r="B31" s="95">
        <f>Assumptions!$D$126</f>
        <v>0.08</v>
      </c>
      <c r="C31" s="95">
        <f>Assumptions!$D$126</f>
        <v>0.08</v>
      </c>
      <c r="D31" s="95">
        <f>Assumptions!$D$126</f>
        <v>0.08</v>
      </c>
    </row>
    <row r="32" spans="1:5" x14ac:dyDescent="0.35">
      <c r="A32" s="74" t="s">
        <v>655</v>
      </c>
      <c r="B32" s="113">
        <f>ROUND(B30+B29,0)</f>
        <v>5789</v>
      </c>
      <c r="C32" s="113">
        <f>ROUND(C30+C29,0)</f>
        <v>11143</v>
      </c>
      <c r="D32" s="113">
        <f>ROUND(D30+D29,0)</f>
        <v>16098</v>
      </c>
    </row>
    <row r="34" spans="1:5" ht="15" x14ac:dyDescent="0.4">
      <c r="A34" s="67" t="s">
        <v>689</v>
      </c>
      <c r="B34" s="68"/>
      <c r="C34" s="68"/>
      <c r="D34" s="68"/>
      <c r="E34" s="68"/>
    </row>
    <row r="35" spans="1:5" x14ac:dyDescent="0.35">
      <c r="A35" s="38" t="s">
        <v>24</v>
      </c>
      <c r="B35" s="71" t="s">
        <v>206</v>
      </c>
      <c r="C35" s="71" t="s">
        <v>53</v>
      </c>
      <c r="D35" s="71" t="s">
        <v>207</v>
      </c>
    </row>
    <row r="36" spans="1:5" x14ac:dyDescent="0.35">
      <c r="A36" t="s">
        <v>690</v>
      </c>
      <c r="B36" s="111">
        <f>Assumptions!$B$140</f>
        <v>1000</v>
      </c>
      <c r="C36" s="111">
        <f>Assumptions!$C$140</f>
        <v>3000</v>
      </c>
      <c r="D36" s="111">
        <f>Assumptions!$D$140</f>
        <v>8000</v>
      </c>
    </row>
    <row r="37" spans="1:5" x14ac:dyDescent="0.35">
      <c r="A37" t="s">
        <v>691</v>
      </c>
      <c r="B37" s="95">
        <f>Assumptions!$B$141</f>
        <v>0.01</v>
      </c>
      <c r="C37" s="95">
        <f>Assumptions!$C$141</f>
        <v>0.03</v>
      </c>
      <c r="D37" s="95">
        <f>Assumptions!$D$141</f>
        <v>0.06</v>
      </c>
    </row>
    <row r="38" spans="1:5" x14ac:dyDescent="0.35">
      <c r="A38" s="37" t="s">
        <v>692</v>
      </c>
      <c r="B38" s="112">
        <f>B36*12*B37</f>
        <v>120</v>
      </c>
      <c r="C38" s="112">
        <f>C36*12*C37</f>
        <v>1080</v>
      </c>
      <c r="D38" s="112">
        <f>D36*12*D37</f>
        <v>5760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pane ySplit="4" topLeftCell="A16" activePane="bottomLeft" state="frozen"/>
      <selection pane="bottomLeft" activeCell="B21" sqref="B21"/>
    </sheetView>
  </sheetViews>
  <sheetFormatPr defaultRowHeight="13.5" x14ac:dyDescent="0.35"/>
  <cols>
    <col min="1" max="1" width="93.125" customWidth="1"/>
    <col min="2" max="4" width="18" customWidth="1"/>
    <col min="5" max="5" width="55" customWidth="1"/>
  </cols>
  <sheetData>
    <row r="1" spans="1:5" ht="18" x14ac:dyDescent="0.55000000000000004">
      <c r="A1" s="4" t="s">
        <v>140</v>
      </c>
    </row>
    <row r="2" spans="1:5" x14ac:dyDescent="0.35">
      <c r="A2" s="3" t="s">
        <v>141</v>
      </c>
    </row>
    <row r="4" spans="1:5" ht="14.25" x14ac:dyDescent="0.45">
      <c r="A4" s="6" t="s">
        <v>142</v>
      </c>
      <c r="B4" s="7"/>
      <c r="C4" s="7"/>
      <c r="D4" s="7"/>
      <c r="E4" s="7"/>
    </row>
    <row r="5" spans="1:5" x14ac:dyDescent="0.35">
      <c r="A5" t="s">
        <v>143</v>
      </c>
      <c r="B5" s="22">
        <f>AVERAGE(Assumptions!$B$6,Assumptions!$B$7)</f>
        <v>1408500</v>
      </c>
      <c r="C5" t="s">
        <v>31</v>
      </c>
    </row>
    <row r="6" spans="1:5" x14ac:dyDescent="0.35">
      <c r="A6" t="s">
        <v>144</v>
      </c>
      <c r="B6" s="22">
        <f>AVERAGE(Assumptions!$B$9,Assumptions!$B$10)</f>
        <v>325000</v>
      </c>
      <c r="C6" t="s">
        <v>31</v>
      </c>
    </row>
    <row r="7" spans="1:5" x14ac:dyDescent="0.35">
      <c r="A7" t="s">
        <v>456</v>
      </c>
      <c r="B7" s="22">
        <f>Assumptions!$B$11*Assumptions!$B$12</f>
        <v>79944</v>
      </c>
      <c r="C7" t="s">
        <v>44</v>
      </c>
    </row>
    <row r="8" spans="1:5" x14ac:dyDescent="0.35">
      <c r="A8" t="s">
        <v>145</v>
      </c>
      <c r="B8" s="22">
        <f>B7*Assumptions!$B$13</f>
        <v>15988.800000000001</v>
      </c>
      <c r="C8" t="s">
        <v>44</v>
      </c>
    </row>
    <row r="9" spans="1:5" x14ac:dyDescent="0.35">
      <c r="A9" t="s">
        <v>146</v>
      </c>
      <c r="B9" s="22">
        <f>B8*Assumptions!$B$14</f>
        <v>4796.6400000000003</v>
      </c>
      <c r="C9" t="s">
        <v>44</v>
      </c>
    </row>
    <row r="11" spans="1:5" ht="14.25" x14ac:dyDescent="0.45">
      <c r="A11" s="6" t="s">
        <v>657</v>
      </c>
      <c r="B11" s="7"/>
      <c r="C11" s="7"/>
      <c r="D11" s="7"/>
      <c r="E11" s="7"/>
    </row>
    <row r="12" spans="1:5" ht="15.75" x14ac:dyDescent="0.5">
      <c r="A12" s="5" t="s">
        <v>147</v>
      </c>
      <c r="B12" s="5" t="s">
        <v>148</v>
      </c>
      <c r="C12" s="5" t="s">
        <v>149</v>
      </c>
      <c r="D12" s="5" t="s">
        <v>150</v>
      </c>
      <c r="E12" s="5"/>
    </row>
    <row r="13" spans="1:5" x14ac:dyDescent="0.35">
      <c r="A13" t="s">
        <v>151</v>
      </c>
      <c r="B13" s="23">
        <f>'GTM — Bottom-Up'!$B$12</f>
        <v>122</v>
      </c>
      <c r="C13" s="23">
        <f>'GTM — Bottom-Up'!$B$22</f>
        <v>1086</v>
      </c>
      <c r="D13" s="23">
        <f>'GTM — Bottom-Up'!$B$32</f>
        <v>5789</v>
      </c>
    </row>
    <row r="14" spans="1:5" x14ac:dyDescent="0.35">
      <c r="A14" t="s">
        <v>152</v>
      </c>
      <c r="B14" s="23">
        <f>'GTM — Bottom-Up'!$C$12</f>
        <v>213</v>
      </c>
      <c r="C14" s="23">
        <f>'GTM — Bottom-Up'!$C$22</f>
        <v>2015</v>
      </c>
      <c r="D14" s="23">
        <f>'GTM — Bottom-Up'!$C$32</f>
        <v>11143</v>
      </c>
    </row>
    <row r="15" spans="1:5" x14ac:dyDescent="0.35">
      <c r="A15" t="s">
        <v>153</v>
      </c>
      <c r="B15" s="23">
        <f>'GTM — Bottom-Up'!$D$12</f>
        <v>282</v>
      </c>
      <c r="C15" s="23">
        <f>'GTM — Bottom-Up'!$D$22</f>
        <v>2810</v>
      </c>
      <c r="D15" s="23">
        <f>'GTM — Bottom-Up'!$D$32</f>
        <v>16098</v>
      </c>
    </row>
    <row r="17" spans="1:5" x14ac:dyDescent="0.35">
      <c r="E17" s="7"/>
    </row>
    <row r="18" spans="1:5" ht="15.75" x14ac:dyDescent="0.5">
      <c r="E18" s="5"/>
    </row>
    <row r="23" spans="1:5" x14ac:dyDescent="0.35">
      <c r="A23" s="38" t="s">
        <v>327</v>
      </c>
      <c r="B23" s="22">
        <f>B8*Assumptions!$B$74</f>
        <v>15988.800000000001</v>
      </c>
      <c r="C23" t="s">
        <v>44</v>
      </c>
    </row>
    <row r="25" spans="1:5" x14ac:dyDescent="0.35">
      <c r="A25" s="38" t="s">
        <v>695</v>
      </c>
      <c r="B25" t="s">
        <v>148</v>
      </c>
      <c r="C25" t="s">
        <v>149</v>
      </c>
      <c r="D25" t="s">
        <v>150</v>
      </c>
    </row>
    <row r="26" spans="1:5" x14ac:dyDescent="0.35">
      <c r="A26" t="s">
        <v>328</v>
      </c>
      <c r="B26" s="22">
        <f>B15*Assumptions!$B$117</f>
        <v>564</v>
      </c>
      <c r="C26" s="22">
        <f>C15*Assumptions!$B$117</f>
        <v>5620</v>
      </c>
      <c r="D26" s="22">
        <f>D15*Assumptions!$B$117</f>
        <v>32196</v>
      </c>
    </row>
    <row r="31" spans="1:5" x14ac:dyDescent="0.35">
      <c r="A31" s="38" t="s">
        <v>392</v>
      </c>
    </row>
    <row r="32" spans="1:5" x14ac:dyDescent="0.35">
      <c r="A32" t="s">
        <v>147</v>
      </c>
      <c r="B32" t="s">
        <v>393</v>
      </c>
    </row>
    <row r="33" spans="1:2" x14ac:dyDescent="0.35">
      <c r="A33" t="s">
        <v>328</v>
      </c>
      <c r="B33">
        <f>ROUND($B$23*Assumptions!$B$77,0)</f>
        <v>3181</v>
      </c>
    </row>
    <row r="34" spans="1:2" x14ac:dyDescent="0.35">
      <c r="A34" t="s">
        <v>394</v>
      </c>
      <c r="B34">
        <f>ROUND($B$23*Assumptions!$B$82,0)</f>
        <v>6361</v>
      </c>
    </row>
    <row r="35" spans="1:2" x14ac:dyDescent="0.35">
      <c r="A35" t="s">
        <v>395</v>
      </c>
      <c r="B35">
        <f>ROUND($B$23*Assumptions!$B$83,0)</f>
        <v>12723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>
      <pane ySplit="4" topLeftCell="A9" activePane="bottomLeft" state="frozen"/>
      <selection pane="bottomLeft" activeCell="B9" sqref="B9"/>
    </sheetView>
  </sheetViews>
  <sheetFormatPr defaultRowHeight="13.5" x14ac:dyDescent="0.35"/>
  <cols>
    <col min="1" max="1" width="50" customWidth="1"/>
    <col min="2" max="2" width="20" customWidth="1"/>
    <col min="3" max="3" width="16" customWidth="1"/>
    <col min="4" max="4" width="40" customWidth="1"/>
    <col min="5" max="5" width="10" customWidth="1"/>
  </cols>
  <sheetData>
    <row r="1" spans="1:5" ht="18" x14ac:dyDescent="0.55000000000000004">
      <c r="A1" s="4" t="s">
        <v>154</v>
      </c>
    </row>
    <row r="2" spans="1:5" x14ac:dyDescent="0.35">
      <c r="A2" s="3" t="s">
        <v>155</v>
      </c>
    </row>
    <row r="4" spans="1:5" ht="15.75" x14ac:dyDescent="0.5">
      <c r="A4" s="5" t="s">
        <v>24</v>
      </c>
      <c r="B4" s="5" t="s">
        <v>25</v>
      </c>
      <c r="C4" s="5" t="s">
        <v>26</v>
      </c>
      <c r="D4" s="5" t="s">
        <v>156</v>
      </c>
      <c r="E4" s="5"/>
    </row>
    <row r="5" spans="1:5" ht="14.25" x14ac:dyDescent="0.45">
      <c r="A5" s="6" t="s">
        <v>157</v>
      </c>
      <c r="B5" s="7"/>
      <c r="C5" s="7"/>
      <c r="D5" s="7"/>
      <c r="E5" s="7"/>
    </row>
    <row r="6" spans="1:5" x14ac:dyDescent="0.35">
      <c r="A6" t="s">
        <v>158</v>
      </c>
      <c r="B6" s="23">
        <f>Assumptions!$B$39</f>
        <v>300</v>
      </c>
      <c r="C6" t="s">
        <v>90</v>
      </c>
      <c r="D6" s="3"/>
    </row>
    <row r="7" spans="1:5" x14ac:dyDescent="0.35">
      <c r="A7" t="s">
        <v>159</v>
      </c>
      <c r="B7" s="24">
        <f>Assumptions!$B$40</f>
        <v>6500000</v>
      </c>
      <c r="C7" t="s">
        <v>93</v>
      </c>
      <c r="D7" s="3"/>
    </row>
    <row r="8" spans="1:5" x14ac:dyDescent="0.35">
      <c r="A8" t="s">
        <v>160</v>
      </c>
      <c r="B8" s="19">
        <f>Assumptions!$B$43</f>
        <v>1.5</v>
      </c>
      <c r="C8" t="s">
        <v>96</v>
      </c>
      <c r="D8" s="3"/>
    </row>
    <row r="9" spans="1:5" x14ac:dyDescent="0.35">
      <c r="A9" t="s">
        <v>161</v>
      </c>
      <c r="B9" s="23">
        <f>B6*Assumptions!$B$34</f>
        <v>22110</v>
      </c>
      <c r="C9" t="s">
        <v>162</v>
      </c>
      <c r="D9" s="3" t="s">
        <v>313</v>
      </c>
    </row>
    <row r="10" spans="1:5" ht="14.25" x14ac:dyDescent="0.45">
      <c r="A10" s="6" t="s">
        <v>163</v>
      </c>
      <c r="B10" s="7"/>
      <c r="C10" s="7"/>
      <c r="D10" s="7"/>
      <c r="E10" s="7"/>
    </row>
    <row r="11" spans="1:5" x14ac:dyDescent="0.35">
      <c r="A11" t="s">
        <v>164</v>
      </c>
      <c r="B11" s="23">
        <f>B6*Assumptions!$B$26</f>
        <v>30</v>
      </c>
      <c r="C11" t="s">
        <v>165</v>
      </c>
      <c r="D11" s="3"/>
    </row>
    <row r="12" spans="1:5" x14ac:dyDescent="0.35">
      <c r="A12" t="s">
        <v>166</v>
      </c>
      <c r="B12" s="23">
        <f>B11/Assumptions!$B$25</f>
        <v>6.666666666666667</v>
      </c>
      <c r="C12" t="s">
        <v>165</v>
      </c>
      <c r="D12" s="3"/>
    </row>
    <row r="13" spans="1:5" x14ac:dyDescent="0.35">
      <c r="A13" t="s">
        <v>167</v>
      </c>
      <c r="B13" s="23">
        <f>B11-B12</f>
        <v>23.333333333333332</v>
      </c>
      <c r="C13" t="s">
        <v>165</v>
      </c>
      <c r="D13" s="3"/>
    </row>
    <row r="14" spans="1:5" x14ac:dyDescent="0.35">
      <c r="A14" t="s">
        <v>168</v>
      </c>
      <c r="B14" s="24">
        <f>B13*Assumptions!$B$27</f>
        <v>4083.333333333333</v>
      </c>
      <c r="C14" t="s">
        <v>93</v>
      </c>
      <c r="D14" s="3"/>
    </row>
    <row r="15" spans="1:5" ht="14.25" x14ac:dyDescent="0.45">
      <c r="A15" s="6" t="s">
        <v>169</v>
      </c>
      <c r="B15" s="7"/>
      <c r="C15" s="7"/>
      <c r="D15" s="7"/>
      <c r="E15" s="7"/>
    </row>
    <row r="16" spans="1:5" x14ac:dyDescent="0.35">
      <c r="A16" t="s">
        <v>170</v>
      </c>
      <c r="B16" s="24">
        <f>B7*Assumptions!$B$29*Assumptions!$B$30*Assumptions!$B$31</f>
        <v>32906.25</v>
      </c>
      <c r="C16" t="s">
        <v>93</v>
      </c>
      <c r="D16" s="3" t="s">
        <v>314</v>
      </c>
    </row>
    <row r="17" spans="1:5" ht="14.25" x14ac:dyDescent="0.45">
      <c r="A17" s="6" t="s">
        <v>171</v>
      </c>
      <c r="B17" s="7"/>
      <c r="C17" s="7"/>
      <c r="D17" s="7"/>
      <c r="E17" s="7"/>
    </row>
    <row r="18" spans="1:5" x14ac:dyDescent="0.35">
      <c r="A18" t="s">
        <v>172</v>
      </c>
      <c r="B18" s="23">
        <f>B9*Assumptions!$B$35</f>
        <v>1437.15</v>
      </c>
      <c r="C18" t="s">
        <v>162</v>
      </c>
      <c r="D18" s="3"/>
    </row>
    <row r="19" spans="1:5" x14ac:dyDescent="0.35">
      <c r="A19" t="s">
        <v>173</v>
      </c>
      <c r="B19" s="23">
        <f>B9*Assumptions!$B$36</f>
        <v>663.3</v>
      </c>
      <c r="C19" t="s">
        <v>162</v>
      </c>
      <c r="D19" s="3"/>
    </row>
    <row r="20" spans="1:5" x14ac:dyDescent="0.35">
      <c r="A20" t="s">
        <v>174</v>
      </c>
      <c r="B20" s="23">
        <f>B18*(1-Assumptions!$B$37)</f>
        <v>1293.4350000000002</v>
      </c>
      <c r="C20" t="s">
        <v>162</v>
      </c>
      <c r="D20" s="3"/>
    </row>
    <row r="21" spans="1:5" x14ac:dyDescent="0.35">
      <c r="A21" t="s">
        <v>175</v>
      </c>
      <c r="B21" s="24">
        <f>(B18-B19)*Assumptions!$B$33</f>
        <v>16637.775000000001</v>
      </c>
      <c r="C21" t="s">
        <v>93</v>
      </c>
      <c r="D21" s="3"/>
    </row>
    <row r="22" spans="1:5" x14ac:dyDescent="0.35">
      <c r="A22" t="s">
        <v>176</v>
      </c>
      <c r="B22" s="24">
        <f>(B18-B20)*Assumptions!$B$33</f>
        <v>3089.8724999999981</v>
      </c>
      <c r="C22" t="s">
        <v>93</v>
      </c>
      <c r="D22" s="3"/>
    </row>
    <row r="23" spans="1:5" ht="14.25" x14ac:dyDescent="0.45">
      <c r="A23" s="6" t="s">
        <v>177</v>
      </c>
      <c r="B23" s="7"/>
      <c r="C23" s="7"/>
      <c r="D23" s="7"/>
      <c r="E23" s="7"/>
    </row>
    <row r="24" spans="1:5" x14ac:dyDescent="0.35">
      <c r="A24" t="s">
        <v>178</v>
      </c>
      <c r="B24" s="24">
        <f>B14+B16+B22</f>
        <v>40079.455833333333</v>
      </c>
      <c r="C24" t="s">
        <v>93</v>
      </c>
      <c r="D24" s="3"/>
    </row>
    <row r="25" spans="1:5" x14ac:dyDescent="0.35">
      <c r="A25" t="s">
        <v>179</v>
      </c>
      <c r="B25" s="24">
        <f>B24*B8</f>
        <v>60119.183749999997</v>
      </c>
      <c r="C25" t="s">
        <v>93</v>
      </c>
      <c r="D25" s="3"/>
    </row>
    <row r="26" spans="1:5" ht="14.25" x14ac:dyDescent="0.45">
      <c r="A26" s="6" t="s">
        <v>180</v>
      </c>
      <c r="B26" s="7"/>
      <c r="C26" s="7"/>
      <c r="D26" s="7"/>
      <c r="E26" s="7"/>
    </row>
    <row r="27" spans="1:5" x14ac:dyDescent="0.35">
      <c r="A27" t="s">
        <v>184</v>
      </c>
      <c r="B27" s="24">
        <f>Assumptions!$B$55</f>
        <v>5000</v>
      </c>
      <c r="C27" t="s">
        <v>117</v>
      </c>
      <c r="D27" s="3"/>
    </row>
    <row r="28" spans="1:5" x14ac:dyDescent="0.35">
      <c r="A28" t="s">
        <v>181</v>
      </c>
      <c r="B28" s="24">
        <f>B27*12</f>
        <v>60000</v>
      </c>
      <c r="C28" t="s">
        <v>93</v>
      </c>
      <c r="D28" s="3"/>
    </row>
    <row r="29" spans="1:5" x14ac:dyDescent="0.35">
      <c r="A29" t="s">
        <v>182</v>
      </c>
      <c r="B29" s="25">
        <f>B25/B28</f>
        <v>1.0019863958333333</v>
      </c>
      <c r="C29" t="s">
        <v>58</v>
      </c>
      <c r="D29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pane ySplit="4" topLeftCell="A5" activePane="bottomLeft" state="frozen"/>
      <selection pane="bottomLeft" activeCell="B22" sqref="B22"/>
    </sheetView>
  </sheetViews>
  <sheetFormatPr defaultRowHeight="13.5" x14ac:dyDescent="0.35"/>
  <cols>
    <col min="1" max="1" width="50" customWidth="1"/>
    <col min="2" max="2" width="20" customWidth="1"/>
    <col min="3" max="3" width="16" customWidth="1"/>
    <col min="4" max="4" width="40" customWidth="1"/>
    <col min="5" max="5" width="10" customWidth="1"/>
  </cols>
  <sheetData>
    <row r="1" spans="1:5" ht="18" x14ac:dyDescent="0.55000000000000004">
      <c r="A1" s="4" t="s">
        <v>183</v>
      </c>
    </row>
    <row r="2" spans="1:5" x14ac:dyDescent="0.35">
      <c r="A2" s="3" t="s">
        <v>155</v>
      </c>
    </row>
    <row r="4" spans="1:5" ht="15.75" x14ac:dyDescent="0.5">
      <c r="A4" s="5" t="s">
        <v>24</v>
      </c>
      <c r="B4" s="5" t="s">
        <v>25</v>
      </c>
      <c r="C4" s="5" t="s">
        <v>26</v>
      </c>
      <c r="D4" s="5" t="s">
        <v>156</v>
      </c>
      <c r="E4" s="5"/>
    </row>
    <row r="5" spans="1:5" ht="14.25" x14ac:dyDescent="0.45">
      <c r="A5" s="6" t="s">
        <v>157</v>
      </c>
      <c r="B5" s="7"/>
      <c r="C5" s="7"/>
      <c r="D5" s="7"/>
      <c r="E5" s="7"/>
    </row>
    <row r="6" spans="1:5" x14ac:dyDescent="0.35">
      <c r="A6" t="s">
        <v>158</v>
      </c>
      <c r="B6" s="23">
        <f>Assumptions!$B$44</f>
        <v>1500</v>
      </c>
      <c r="C6" t="s">
        <v>90</v>
      </c>
      <c r="D6" s="3"/>
    </row>
    <row r="7" spans="1:5" x14ac:dyDescent="0.35">
      <c r="A7" t="s">
        <v>159</v>
      </c>
      <c r="B7" s="24">
        <f>Assumptions!$B$45</f>
        <v>35000000</v>
      </c>
      <c r="C7" t="s">
        <v>93</v>
      </c>
      <c r="D7" s="3"/>
    </row>
    <row r="8" spans="1:5" x14ac:dyDescent="0.35">
      <c r="A8" t="s">
        <v>160</v>
      </c>
      <c r="B8" s="19">
        <f>Assumptions!$B$48</f>
        <v>2</v>
      </c>
      <c r="C8" t="s">
        <v>96</v>
      </c>
      <c r="D8" s="3"/>
    </row>
    <row r="9" spans="1:5" x14ac:dyDescent="0.35">
      <c r="A9" t="s">
        <v>161</v>
      </c>
      <c r="B9" s="23">
        <f>B6*Assumptions!$B$34</f>
        <v>110550</v>
      </c>
      <c r="C9" t="s">
        <v>162</v>
      </c>
      <c r="D9" s="3" t="s">
        <v>313</v>
      </c>
    </row>
    <row r="10" spans="1:5" ht="14.25" x14ac:dyDescent="0.45">
      <c r="A10" s="6" t="s">
        <v>163</v>
      </c>
      <c r="B10" s="7"/>
      <c r="C10" s="7"/>
      <c r="D10" s="7"/>
      <c r="E10" s="7"/>
    </row>
    <row r="11" spans="1:5" x14ac:dyDescent="0.35">
      <c r="A11" t="s">
        <v>164</v>
      </c>
      <c r="B11" s="23">
        <f>B6*Assumptions!$B$26</f>
        <v>150</v>
      </c>
      <c r="C11" t="s">
        <v>165</v>
      </c>
      <c r="D11" s="3"/>
    </row>
    <row r="12" spans="1:5" x14ac:dyDescent="0.35">
      <c r="A12" t="s">
        <v>166</v>
      </c>
      <c r="B12" s="23">
        <f>B11/Assumptions!$B$25</f>
        <v>33.333333333333336</v>
      </c>
      <c r="C12" t="s">
        <v>165</v>
      </c>
      <c r="D12" s="3"/>
    </row>
    <row r="13" spans="1:5" x14ac:dyDescent="0.35">
      <c r="A13" t="s">
        <v>167</v>
      </c>
      <c r="B13" s="23">
        <f>B11-B12</f>
        <v>116.66666666666666</v>
      </c>
      <c r="C13" t="s">
        <v>165</v>
      </c>
      <c r="D13" s="3"/>
    </row>
    <row r="14" spans="1:5" x14ac:dyDescent="0.35">
      <c r="A14" t="s">
        <v>168</v>
      </c>
      <c r="B14" s="24">
        <f>B13*Assumptions!$B$27</f>
        <v>20416.666666666664</v>
      </c>
      <c r="C14" t="s">
        <v>93</v>
      </c>
      <c r="D14" s="3"/>
    </row>
    <row r="15" spans="1:5" ht="14.25" x14ac:dyDescent="0.45">
      <c r="A15" s="6" t="s">
        <v>169</v>
      </c>
      <c r="B15" s="7"/>
      <c r="C15" s="7"/>
      <c r="D15" s="7"/>
      <c r="E15" s="7"/>
    </row>
    <row r="16" spans="1:5" x14ac:dyDescent="0.35">
      <c r="A16" t="s">
        <v>170</v>
      </c>
      <c r="B16" s="24">
        <f>B7*Assumptions!$B$29*Assumptions!$B$30*Assumptions!$B$31</f>
        <v>177187.5</v>
      </c>
      <c r="C16" t="s">
        <v>93</v>
      </c>
      <c r="D16" s="3" t="s">
        <v>314</v>
      </c>
    </row>
    <row r="17" spans="1:5" ht="14.25" x14ac:dyDescent="0.45">
      <c r="A17" s="6" t="s">
        <v>171</v>
      </c>
      <c r="B17" s="7"/>
      <c r="C17" s="7"/>
      <c r="D17" s="7"/>
      <c r="E17" s="7"/>
    </row>
    <row r="18" spans="1:5" x14ac:dyDescent="0.35">
      <c r="A18" t="s">
        <v>172</v>
      </c>
      <c r="B18" s="23">
        <f>B9*Assumptions!$B$35</f>
        <v>7185.75</v>
      </c>
      <c r="C18" t="s">
        <v>162</v>
      </c>
      <c r="D18" s="3"/>
    </row>
    <row r="19" spans="1:5" x14ac:dyDescent="0.35">
      <c r="A19" t="s">
        <v>173</v>
      </c>
      <c r="B19" s="23">
        <f>B9*Assumptions!$B$36</f>
        <v>3316.5</v>
      </c>
      <c r="C19" t="s">
        <v>162</v>
      </c>
      <c r="D19" s="3"/>
    </row>
    <row r="20" spans="1:5" x14ac:dyDescent="0.35">
      <c r="A20" t="s">
        <v>174</v>
      </c>
      <c r="B20" s="23">
        <f>B18*(1-Assumptions!$B$37)</f>
        <v>6467.1750000000002</v>
      </c>
      <c r="C20" t="s">
        <v>162</v>
      </c>
      <c r="D20" s="3"/>
    </row>
    <row r="21" spans="1:5" x14ac:dyDescent="0.35">
      <c r="A21" t="s">
        <v>175</v>
      </c>
      <c r="B21" s="24">
        <f>(B18-B19)*Assumptions!$B$33</f>
        <v>83188.875</v>
      </c>
      <c r="C21" t="s">
        <v>93</v>
      </c>
      <c r="D21" s="3"/>
    </row>
    <row r="22" spans="1:5" x14ac:dyDescent="0.35">
      <c r="A22" t="s">
        <v>176</v>
      </c>
      <c r="B22" s="24">
        <f>(B18-B20)*Assumptions!$B$33</f>
        <v>15449.362499999996</v>
      </c>
      <c r="C22" t="s">
        <v>93</v>
      </c>
      <c r="D22" s="3"/>
    </row>
    <row r="23" spans="1:5" ht="14.25" x14ac:dyDescent="0.45">
      <c r="A23" s="6" t="s">
        <v>177</v>
      </c>
      <c r="B23" s="7"/>
      <c r="C23" s="7"/>
      <c r="D23" s="7"/>
      <c r="E23" s="7"/>
    </row>
    <row r="24" spans="1:5" x14ac:dyDescent="0.35">
      <c r="A24" t="s">
        <v>178</v>
      </c>
      <c r="B24" s="24">
        <f>B14+B16+B22</f>
        <v>213053.52916666665</v>
      </c>
      <c r="C24" t="s">
        <v>93</v>
      </c>
      <c r="D24" s="3"/>
    </row>
    <row r="25" spans="1:5" x14ac:dyDescent="0.35">
      <c r="A25" t="s">
        <v>179</v>
      </c>
      <c r="B25" s="24">
        <f>B24*B8</f>
        <v>426107.05833333329</v>
      </c>
      <c r="C25" t="s">
        <v>93</v>
      </c>
      <c r="D25" s="3"/>
    </row>
    <row r="26" spans="1:5" ht="14.25" x14ac:dyDescent="0.45">
      <c r="A26" s="6" t="s">
        <v>180</v>
      </c>
      <c r="B26" s="7"/>
      <c r="C26" s="7"/>
      <c r="D26" s="7"/>
      <c r="E26" s="7"/>
    </row>
    <row r="27" spans="1:5" x14ac:dyDescent="0.35">
      <c r="A27" t="s">
        <v>184</v>
      </c>
      <c r="B27" s="24">
        <f>Assumptions!$B$56</f>
        <v>7000</v>
      </c>
      <c r="C27" t="s">
        <v>93</v>
      </c>
      <c r="D27" s="3"/>
    </row>
    <row r="28" spans="1:5" x14ac:dyDescent="0.35">
      <c r="A28" t="s">
        <v>181</v>
      </c>
      <c r="B28" s="24">
        <f>B27*12</f>
        <v>84000</v>
      </c>
      <c r="C28" t="s">
        <v>93</v>
      </c>
      <c r="D28" s="3"/>
    </row>
    <row r="29" spans="1:5" x14ac:dyDescent="0.35">
      <c r="A29" t="s">
        <v>182</v>
      </c>
      <c r="B29" s="25">
        <f>B25/B28</f>
        <v>5.0727030753968245</v>
      </c>
      <c r="C29" t="s">
        <v>58</v>
      </c>
      <c r="D29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>
      <pane ySplit="4" topLeftCell="A5" activePane="bottomLeft" state="frozen"/>
      <selection pane="bottomLeft"/>
    </sheetView>
  </sheetViews>
  <sheetFormatPr defaultRowHeight="13.5" x14ac:dyDescent="0.35"/>
  <cols>
    <col min="1" max="1" width="50" customWidth="1"/>
    <col min="2" max="2" width="20" customWidth="1"/>
    <col min="3" max="3" width="16" customWidth="1"/>
    <col min="4" max="4" width="40" customWidth="1"/>
    <col min="5" max="5" width="10" customWidth="1"/>
  </cols>
  <sheetData>
    <row r="1" spans="1:5" ht="18" x14ac:dyDescent="0.55000000000000004">
      <c r="A1" s="4" t="s">
        <v>185</v>
      </c>
    </row>
    <row r="2" spans="1:5" x14ac:dyDescent="0.35">
      <c r="A2" s="3" t="s">
        <v>155</v>
      </c>
    </row>
    <row r="4" spans="1:5" ht="15.75" x14ac:dyDescent="0.5">
      <c r="A4" s="5" t="s">
        <v>24</v>
      </c>
      <c r="B4" s="5" t="s">
        <v>25</v>
      </c>
      <c r="C4" s="5" t="s">
        <v>26</v>
      </c>
      <c r="D4" s="5" t="s">
        <v>156</v>
      </c>
      <c r="E4" s="5"/>
    </row>
    <row r="5" spans="1:5" ht="14.25" x14ac:dyDescent="0.45">
      <c r="A5" s="6" t="s">
        <v>157</v>
      </c>
      <c r="B5" s="7"/>
      <c r="C5" s="7"/>
      <c r="D5" s="7"/>
      <c r="E5" s="7"/>
    </row>
    <row r="6" spans="1:5" x14ac:dyDescent="0.35">
      <c r="A6" t="s">
        <v>158</v>
      </c>
      <c r="B6" s="23">
        <f>Assumptions!$B$49</f>
        <v>4000</v>
      </c>
      <c r="C6" t="s">
        <v>90</v>
      </c>
      <c r="D6" s="3"/>
    </row>
    <row r="7" spans="1:5" x14ac:dyDescent="0.35">
      <c r="A7" t="s">
        <v>159</v>
      </c>
      <c r="B7" s="24">
        <f>Assumptions!$B$50</f>
        <v>80000000</v>
      </c>
      <c r="C7" t="s">
        <v>93</v>
      </c>
      <c r="D7" s="3"/>
    </row>
    <row r="8" spans="1:5" x14ac:dyDescent="0.35">
      <c r="A8" t="s">
        <v>160</v>
      </c>
      <c r="B8" s="19">
        <f>Assumptions!$B$53</f>
        <v>1.5</v>
      </c>
      <c r="C8" t="s">
        <v>96</v>
      </c>
      <c r="D8" s="3"/>
    </row>
    <row r="9" spans="1:5" x14ac:dyDescent="0.35">
      <c r="A9" t="s">
        <v>161</v>
      </c>
      <c r="B9" s="23">
        <f>B6*Assumptions!$B$34</f>
        <v>294800</v>
      </c>
      <c r="C9" t="s">
        <v>162</v>
      </c>
      <c r="D9" s="3" t="s">
        <v>313</v>
      </c>
    </row>
    <row r="10" spans="1:5" ht="14.25" x14ac:dyDescent="0.45">
      <c r="A10" s="6" t="s">
        <v>163</v>
      </c>
      <c r="B10" s="7"/>
      <c r="C10" s="7"/>
      <c r="D10" s="7"/>
      <c r="E10" s="7"/>
    </row>
    <row r="11" spans="1:5" x14ac:dyDescent="0.35">
      <c r="A11" t="s">
        <v>164</v>
      </c>
      <c r="B11" s="23">
        <f>B6*Assumptions!$B$26</f>
        <v>400</v>
      </c>
      <c r="C11" t="s">
        <v>165</v>
      </c>
      <c r="D11" s="3"/>
    </row>
    <row r="12" spans="1:5" x14ac:dyDescent="0.35">
      <c r="A12" t="s">
        <v>166</v>
      </c>
      <c r="B12" s="23">
        <f>B11/Assumptions!$B$25</f>
        <v>88.888888888888886</v>
      </c>
      <c r="C12" t="s">
        <v>165</v>
      </c>
      <c r="D12" s="3"/>
    </row>
    <row r="13" spans="1:5" x14ac:dyDescent="0.35">
      <c r="A13" t="s">
        <v>167</v>
      </c>
      <c r="B13" s="23">
        <f>B11-B12</f>
        <v>311.11111111111109</v>
      </c>
      <c r="C13" t="s">
        <v>165</v>
      </c>
      <c r="D13" s="3"/>
    </row>
    <row r="14" spans="1:5" x14ac:dyDescent="0.35">
      <c r="A14" t="s">
        <v>168</v>
      </c>
      <c r="B14" s="24">
        <f>B13*Assumptions!$B$27</f>
        <v>54444.444444444438</v>
      </c>
      <c r="C14" t="s">
        <v>93</v>
      </c>
      <c r="D14" s="3"/>
    </row>
    <row r="15" spans="1:5" ht="14.25" x14ac:dyDescent="0.45">
      <c r="A15" s="6" t="s">
        <v>169</v>
      </c>
      <c r="B15" s="7"/>
      <c r="C15" s="7"/>
      <c r="D15" s="7"/>
      <c r="E15" s="7"/>
    </row>
    <row r="16" spans="1:5" x14ac:dyDescent="0.35">
      <c r="A16" t="s">
        <v>170</v>
      </c>
      <c r="B16" s="24">
        <f>B7*Assumptions!$B$29*Assumptions!$B$30*Assumptions!$B$31</f>
        <v>405000</v>
      </c>
      <c r="C16" t="s">
        <v>93</v>
      </c>
      <c r="D16" s="3" t="s">
        <v>314</v>
      </c>
    </row>
    <row r="17" spans="1:5" ht="14.25" x14ac:dyDescent="0.45">
      <c r="A17" s="6" t="s">
        <v>171</v>
      </c>
      <c r="B17" s="7"/>
      <c r="C17" s="7"/>
      <c r="D17" s="7"/>
      <c r="E17" s="7"/>
    </row>
    <row r="18" spans="1:5" x14ac:dyDescent="0.35">
      <c r="A18" t="s">
        <v>172</v>
      </c>
      <c r="B18" s="23">
        <f>B9*Assumptions!$B$35</f>
        <v>19162</v>
      </c>
      <c r="C18" t="s">
        <v>162</v>
      </c>
      <c r="D18" s="3"/>
    </row>
    <row r="19" spans="1:5" x14ac:dyDescent="0.35">
      <c r="A19" t="s">
        <v>173</v>
      </c>
      <c r="B19" s="23">
        <f>B9*Assumptions!$B$36</f>
        <v>8844</v>
      </c>
      <c r="C19" t="s">
        <v>162</v>
      </c>
      <c r="D19" s="3"/>
    </row>
    <row r="20" spans="1:5" x14ac:dyDescent="0.35">
      <c r="A20" t="s">
        <v>174</v>
      </c>
      <c r="B20" s="23">
        <f>B18*(1-Assumptions!$B$37)</f>
        <v>17245.8</v>
      </c>
      <c r="C20" t="s">
        <v>162</v>
      </c>
      <c r="D20" s="3"/>
    </row>
    <row r="21" spans="1:5" x14ac:dyDescent="0.35">
      <c r="A21" t="s">
        <v>175</v>
      </c>
      <c r="B21" s="24">
        <f>(B18-B19)*Assumptions!$B$33</f>
        <v>221837</v>
      </c>
      <c r="C21" t="s">
        <v>93</v>
      </c>
      <c r="D21" s="3"/>
    </row>
    <row r="22" spans="1:5" x14ac:dyDescent="0.35">
      <c r="A22" t="s">
        <v>176</v>
      </c>
      <c r="B22" s="24">
        <f>(B18-B20)*Assumptions!$B$33</f>
        <v>41198.300000000017</v>
      </c>
      <c r="C22" t="s">
        <v>93</v>
      </c>
      <c r="D22" s="3"/>
    </row>
    <row r="23" spans="1:5" ht="14.25" x14ac:dyDescent="0.45">
      <c r="A23" s="6" t="s">
        <v>177</v>
      </c>
      <c r="B23" s="7"/>
      <c r="C23" s="7"/>
      <c r="D23" s="7"/>
      <c r="E23" s="7"/>
    </row>
    <row r="24" spans="1:5" x14ac:dyDescent="0.35">
      <c r="A24" t="s">
        <v>178</v>
      </c>
      <c r="B24" s="24">
        <f>B14+B16+B22</f>
        <v>500642.74444444443</v>
      </c>
      <c r="C24" t="s">
        <v>93</v>
      </c>
      <c r="D24" s="3"/>
    </row>
    <row r="25" spans="1:5" x14ac:dyDescent="0.35">
      <c r="A25" t="s">
        <v>179</v>
      </c>
      <c r="B25" s="24">
        <f>B24*B8</f>
        <v>750964.1166666667</v>
      </c>
      <c r="C25" t="s">
        <v>93</v>
      </c>
      <c r="D25" s="3"/>
    </row>
    <row r="26" spans="1:5" ht="14.25" x14ac:dyDescent="0.45">
      <c r="A26" s="6" t="s">
        <v>180</v>
      </c>
      <c r="B26" s="7"/>
      <c r="C26" s="7"/>
      <c r="D26" s="7"/>
      <c r="E26" s="7"/>
    </row>
    <row r="27" spans="1:5" x14ac:dyDescent="0.35">
      <c r="A27" t="s">
        <v>345</v>
      </c>
      <c r="B27" s="24">
        <f>Assumptions!$B$57</f>
        <v>12000</v>
      </c>
      <c r="C27" t="s">
        <v>117</v>
      </c>
      <c r="D27" s="3"/>
    </row>
    <row r="28" spans="1:5" x14ac:dyDescent="0.35">
      <c r="A28" t="s">
        <v>181</v>
      </c>
      <c r="B28" s="24">
        <f>B27*12</f>
        <v>144000</v>
      </c>
      <c r="C28" t="s">
        <v>93</v>
      </c>
      <c r="D28" s="3"/>
    </row>
    <row r="29" spans="1:5" x14ac:dyDescent="0.35">
      <c r="A29" t="s">
        <v>182</v>
      </c>
      <c r="B29" s="25">
        <f>B25/B28</f>
        <v>5.215028587962963</v>
      </c>
      <c r="C29" t="s">
        <v>58</v>
      </c>
      <c r="D29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9"/>
  <sheetViews>
    <sheetView zoomScale="85" zoomScaleNormal="85" workbookViewId="0">
      <pane ySplit="4" topLeftCell="A52" activePane="bottomLeft" state="frozen"/>
      <selection pane="bottomLeft" activeCell="D69" sqref="D69"/>
    </sheetView>
  </sheetViews>
  <sheetFormatPr defaultRowHeight="13.5" x14ac:dyDescent="0.35"/>
  <cols>
    <col min="1" max="1" width="40" customWidth="1"/>
    <col min="2" max="5" width="20" customWidth="1"/>
  </cols>
  <sheetData>
    <row r="1" spans="1:5" ht="18" x14ac:dyDescent="0.55000000000000004">
      <c r="A1" s="4" t="s">
        <v>186</v>
      </c>
    </row>
    <row r="2" spans="1:5" x14ac:dyDescent="0.35">
      <c r="A2" s="3" t="s">
        <v>187</v>
      </c>
    </row>
    <row r="4" spans="1:5" ht="15.75" x14ac:dyDescent="0.5">
      <c r="A4" s="5" t="s">
        <v>24</v>
      </c>
      <c r="B4" s="5" t="s">
        <v>188</v>
      </c>
      <c r="C4" s="5" t="s">
        <v>189</v>
      </c>
      <c r="D4" s="5" t="s">
        <v>190</v>
      </c>
      <c r="E4" s="5" t="s">
        <v>191</v>
      </c>
    </row>
    <row r="5" spans="1:5" ht="14.25" x14ac:dyDescent="0.45">
      <c r="A5" t="s">
        <v>192</v>
      </c>
      <c r="B5" s="23">
        <f>'Client — Small'!B6</f>
        <v>300</v>
      </c>
      <c r="C5" s="23">
        <f>'Client — Medium'!B6</f>
        <v>1500</v>
      </c>
      <c r="D5" s="23">
        <f>'Client — Large'!B6</f>
        <v>4000</v>
      </c>
      <c r="E5" s="26">
        <f>B5*Assumptions!$B$59+C5*Assumptions!$B$60+D5*Assumptions!$B$61</f>
        <v>1155</v>
      </c>
    </row>
    <row r="6" spans="1:5" ht="14.25" x14ac:dyDescent="0.45">
      <c r="A6" t="s">
        <v>193</v>
      </c>
      <c r="B6" s="24">
        <f>'Client — Small'!B7</f>
        <v>6500000</v>
      </c>
      <c r="C6" s="24">
        <f>'Client — Medium'!B7</f>
        <v>35000000</v>
      </c>
      <c r="D6" s="24">
        <f>'Client — Large'!B7</f>
        <v>80000000</v>
      </c>
      <c r="E6" s="27">
        <f>B6*Assumptions!$B$59+C6*Assumptions!$B$60+D6*Assumptions!$B$61</f>
        <v>24650000</v>
      </c>
    </row>
    <row r="7" spans="1:5" ht="14.25" x14ac:dyDescent="0.45">
      <c r="A7" t="s">
        <v>194</v>
      </c>
      <c r="B7" s="24">
        <f>'Client — Small'!B25</f>
        <v>60119.183749999997</v>
      </c>
      <c r="C7" s="24">
        <f>'Client — Medium'!B25</f>
        <v>426107.05833333329</v>
      </c>
      <c r="D7" s="24">
        <f>'Client — Large'!B25</f>
        <v>750964.1166666667</v>
      </c>
      <c r="E7" s="27">
        <f>B7*Assumptions!$B$59+C7*Assumptions!$B$60+D7*Assumptions!$B$61</f>
        <v>255242.89233333332</v>
      </c>
    </row>
    <row r="8" spans="1:5" ht="14.25" x14ac:dyDescent="0.45">
      <c r="A8" t="s">
        <v>195</v>
      </c>
      <c r="B8" s="24">
        <f>'Client — Small'!B28</f>
        <v>60000</v>
      </c>
      <c r="C8" s="24">
        <f>'Client — Medium'!B28</f>
        <v>84000</v>
      </c>
      <c r="D8" s="24">
        <f>'Client — Large'!B28</f>
        <v>144000</v>
      </c>
      <c r="E8" s="27">
        <f>B8*Assumptions!$B$59+C8*Assumptions!$B$60+D8*Assumptions!$B$61</f>
        <v>78600</v>
      </c>
    </row>
    <row r="9" spans="1:5" ht="14.25" x14ac:dyDescent="0.45">
      <c r="A9" t="s">
        <v>196</v>
      </c>
      <c r="B9" s="25">
        <f>'Client — Small'!B29</f>
        <v>1.0019863958333333</v>
      </c>
      <c r="C9" s="25">
        <f>'Client — Medium'!B29</f>
        <v>5.0727030753968245</v>
      </c>
      <c r="D9" s="25">
        <f>'Client — Large'!B29</f>
        <v>5.215028587962963</v>
      </c>
      <c r="E9" s="28">
        <f>B9*Assumptions!$B$59+C9*Assumptions!$B$60+D9*Assumptions!$B$61</f>
        <v>2.6516218945436503</v>
      </c>
    </row>
    <row r="11" spans="1:5" ht="14.25" x14ac:dyDescent="0.45">
      <c r="A11" s="6" t="s">
        <v>365</v>
      </c>
      <c r="B11" s="7"/>
      <c r="C11" s="7"/>
      <c r="D11" s="7"/>
      <c r="E11" s="7"/>
    </row>
    <row r="12" spans="1:5" ht="14.25" x14ac:dyDescent="0.45">
      <c r="A12" t="s">
        <v>346</v>
      </c>
      <c r="B12" s="24">
        <f>'Client — Small'!B27</f>
        <v>5000</v>
      </c>
      <c r="C12" s="24">
        <f>'Client — Medium'!B27</f>
        <v>7000</v>
      </c>
      <c r="D12" s="24">
        <f>'Client — Large'!B27</f>
        <v>12000</v>
      </c>
      <c r="E12" s="27">
        <f>B12*Assumptions!$B$59+C12*Assumptions!$B$60+D12*Assumptions!$B$61</f>
        <v>6550</v>
      </c>
    </row>
    <row r="14" spans="1:5" ht="14.25" x14ac:dyDescent="0.45">
      <c r="A14" s="6" t="s">
        <v>197</v>
      </c>
      <c r="B14" s="7"/>
      <c r="C14" s="7"/>
      <c r="D14" s="7"/>
      <c r="E14" s="7"/>
    </row>
    <row r="15" spans="1:5" x14ac:dyDescent="0.35">
      <c r="A15" t="s">
        <v>198</v>
      </c>
      <c r="B15" s="29">
        <f>Assumptions!$B$59</f>
        <v>0.6</v>
      </c>
      <c r="C15" s="29">
        <f>Assumptions!$B$60</f>
        <v>0.25</v>
      </c>
      <c r="D15" s="29">
        <f>Assumptions!$B$61</f>
        <v>0.15</v>
      </c>
    </row>
    <row r="17" spans="1:5" x14ac:dyDescent="0.35">
      <c r="A17" s="38" t="s">
        <v>329</v>
      </c>
      <c r="E17" s="42">
        <f>E8*(1+Assumptions!$B$78)</f>
        <v>94320</v>
      </c>
    </row>
    <row r="19" spans="1:5" x14ac:dyDescent="0.35">
      <c r="A19" s="38" t="s">
        <v>366</v>
      </c>
    </row>
    <row r="20" spans="1:5" x14ac:dyDescent="0.35">
      <c r="A20" t="s">
        <v>351</v>
      </c>
      <c r="B20" s="45" t="s">
        <v>188</v>
      </c>
      <c r="C20" s="45" t="s">
        <v>189</v>
      </c>
      <c r="D20" s="45" t="s">
        <v>190</v>
      </c>
      <c r="E20" s="45" t="s">
        <v>191</v>
      </c>
    </row>
    <row r="21" spans="1:5" x14ac:dyDescent="0.35">
      <c r="A21" s="38" t="s">
        <v>367</v>
      </c>
      <c r="B21" s="44">
        <f>'Client — Small'!B14*'Client — Small'!B8</f>
        <v>6125</v>
      </c>
      <c r="C21" s="44">
        <f>'Client — Medium'!B14*'Client — Medium'!B8</f>
        <v>40833.333333333328</v>
      </c>
      <c r="D21" s="44">
        <f>'Client — Large'!B14*'Client — Large'!B8</f>
        <v>81666.666666666657</v>
      </c>
      <c r="E21" s="44">
        <f>B21*Assumptions!$B$59+C21*Assumptions!$B$60+D21*Assumptions!$B$61</f>
        <v>26133.333333333328</v>
      </c>
    </row>
    <row r="22" spans="1:5" x14ac:dyDescent="0.35">
      <c r="A22" t="s">
        <v>352</v>
      </c>
      <c r="B22" s="44">
        <f>'Client — Small'!B16*'Client — Small'!B8</f>
        <v>49359.375</v>
      </c>
      <c r="C22" s="44">
        <f>'Client — Medium'!B16*'Client — Medium'!B8</f>
        <v>354375</v>
      </c>
      <c r="D22" s="44">
        <f>'Client — Large'!B16*'Client — Large'!B8</f>
        <v>607500</v>
      </c>
      <c r="E22" s="44">
        <f>B22*Assumptions!$B$59+C22*Assumptions!$B$60+D22*Assumptions!$B$61</f>
        <v>209334.375</v>
      </c>
    </row>
    <row r="23" spans="1:5" x14ac:dyDescent="0.35">
      <c r="A23" s="38" t="s">
        <v>368</v>
      </c>
      <c r="B23" s="44">
        <f>'Client — Small'!B22*'Client — Small'!B8</f>
        <v>4634.8087499999974</v>
      </c>
      <c r="C23" s="44">
        <f>'Client — Medium'!B22*'Client — Medium'!B8</f>
        <v>30898.724999999991</v>
      </c>
      <c r="D23" s="44">
        <f>'Client — Large'!B22*'Client — Large'!B8</f>
        <v>61797.450000000026</v>
      </c>
      <c r="E23" s="44">
        <f>B23*Assumptions!$B$59+C23*Assumptions!$B$60+D23*Assumptions!$B$61</f>
        <v>19775.184000000001</v>
      </c>
    </row>
    <row r="24" spans="1:5" x14ac:dyDescent="0.35">
      <c r="A24" s="37" t="s">
        <v>353</v>
      </c>
      <c r="B24" s="42">
        <f>B21+B22+B23</f>
        <v>60119.183749999997</v>
      </c>
      <c r="C24" s="42">
        <f>C21+C22+C23</f>
        <v>426107.05833333329</v>
      </c>
      <c r="D24" s="42">
        <f>D21+D22+D23</f>
        <v>750964.1166666667</v>
      </c>
      <c r="E24" s="42">
        <f>E21+E22+E23</f>
        <v>255242.89233333332</v>
      </c>
    </row>
    <row r="25" spans="1:5" x14ac:dyDescent="0.35">
      <c r="A25" s="46" t="s">
        <v>371</v>
      </c>
      <c r="B25" s="51">
        <f>B24-B7</f>
        <v>0</v>
      </c>
      <c r="C25" s="51">
        <f>C24-C7</f>
        <v>0</v>
      </c>
      <c r="D25" s="51">
        <f>D24-D7</f>
        <v>0</v>
      </c>
      <c r="E25" s="51">
        <f>E24-E7</f>
        <v>0</v>
      </c>
    </row>
    <row r="27" spans="1:5" x14ac:dyDescent="0.35">
      <c r="A27" s="38" t="s">
        <v>354</v>
      </c>
    </row>
    <row r="28" spans="1:5" x14ac:dyDescent="0.35">
      <c r="A28" t="s">
        <v>351</v>
      </c>
      <c r="B28" s="45" t="s">
        <v>188</v>
      </c>
      <c r="C28" s="45" t="s">
        <v>189</v>
      </c>
      <c r="D28" s="45" t="s">
        <v>190</v>
      </c>
      <c r="E28" s="45" t="s">
        <v>191</v>
      </c>
    </row>
    <row r="29" spans="1:5" x14ac:dyDescent="0.35">
      <c r="A29" t="s">
        <v>369</v>
      </c>
      <c r="B29" s="49">
        <f>B21/B24</f>
        <v>0.10188095742401028</v>
      </c>
      <c r="C29" s="49">
        <f>C21/C24</f>
        <v>9.5828812348352124E-2</v>
      </c>
      <c r="D29" s="49">
        <f>D21/D24</f>
        <v>0.10874909313798325</v>
      </c>
      <c r="E29" s="49">
        <f>E21/E24</f>
        <v>0.10238613539610192</v>
      </c>
    </row>
    <row r="30" spans="1:5" x14ac:dyDescent="0.35">
      <c r="A30" t="s">
        <v>355</v>
      </c>
      <c r="B30" s="49">
        <f>B22/B24</f>
        <v>0.82102536862869502</v>
      </c>
      <c r="C30" s="49">
        <f>C22/C24</f>
        <v>0.83165719288034179</v>
      </c>
      <c r="D30" s="49">
        <f>D22/D24</f>
        <v>0.8089600907917327</v>
      </c>
      <c r="E30" s="49">
        <f>E22/E24</f>
        <v>0.82013792073246339</v>
      </c>
    </row>
    <row r="31" spans="1:5" x14ac:dyDescent="0.35">
      <c r="A31" t="s">
        <v>370</v>
      </c>
      <c r="B31" s="49">
        <f>B23/B24</f>
        <v>7.7093673947294702E-2</v>
      </c>
      <c r="C31" s="49">
        <f>C23/C24</f>
        <v>7.2513994771306184E-2</v>
      </c>
      <c r="D31" s="49">
        <f>D23/D24</f>
        <v>8.2290816070284087E-2</v>
      </c>
      <c r="E31" s="49">
        <f>E23/E24</f>
        <v>7.7475943871434777E-2</v>
      </c>
    </row>
    <row r="32" spans="1:5" x14ac:dyDescent="0.35">
      <c r="A32" s="37" t="s">
        <v>356</v>
      </c>
      <c r="B32" s="52">
        <f>B29+B30+B31</f>
        <v>1</v>
      </c>
      <c r="C32" s="52">
        <f>C29+C30+C31</f>
        <v>1.0000000000000002</v>
      </c>
      <c r="D32" s="52">
        <f>D29+D30+D31</f>
        <v>1</v>
      </c>
      <c r="E32" s="52">
        <f>E29+E30+E31</f>
        <v>1</v>
      </c>
    </row>
    <row r="34" spans="1:5" x14ac:dyDescent="0.35">
      <c r="A34" s="38" t="s">
        <v>357</v>
      </c>
    </row>
    <row r="35" spans="1:5" x14ac:dyDescent="0.35">
      <c r="A35" t="s">
        <v>351</v>
      </c>
      <c r="B35" s="45" t="s">
        <v>188</v>
      </c>
      <c r="C35" s="45" t="s">
        <v>189</v>
      </c>
      <c r="D35" s="45" t="s">
        <v>190</v>
      </c>
      <c r="E35" s="45" t="s">
        <v>191</v>
      </c>
    </row>
    <row r="36" spans="1:5" x14ac:dyDescent="0.35">
      <c r="A36" t="s">
        <v>358</v>
      </c>
      <c r="B36" s="44">
        <f>'Client — Small'!B7*'Client — Small'!B8</f>
        <v>9750000</v>
      </c>
      <c r="C36" s="44">
        <f>'Client — Medium'!B7*'Client — Medium'!B8</f>
        <v>70000000</v>
      </c>
      <c r="D36" s="44">
        <f>'Client — Large'!B7*'Client — Large'!B8</f>
        <v>120000000</v>
      </c>
      <c r="E36" s="44">
        <f>B36*Assumptions!$B$59+C36*Assumptions!$B$60+D36*Assumptions!$B$61</f>
        <v>41350000</v>
      </c>
    </row>
    <row r="37" spans="1:5" x14ac:dyDescent="0.35">
      <c r="A37" t="s">
        <v>359</v>
      </c>
      <c r="B37" s="44">
        <f>B24</f>
        <v>60119.183749999997</v>
      </c>
      <c r="C37" s="44">
        <f>C24</f>
        <v>426107.05833333329</v>
      </c>
      <c r="D37" s="44">
        <f>D24</f>
        <v>750964.1166666667</v>
      </c>
      <c r="E37" s="44">
        <f>E24</f>
        <v>255242.89233333332</v>
      </c>
    </row>
    <row r="38" spans="1:5" x14ac:dyDescent="0.35">
      <c r="A38" s="37" t="s">
        <v>361</v>
      </c>
      <c r="B38" s="53">
        <f>B37/B36</f>
        <v>6.166070128205128E-3</v>
      </c>
      <c r="C38" s="53">
        <f>C37/C36</f>
        <v>6.0872436904761901E-3</v>
      </c>
      <c r="D38" s="53">
        <f>D37/D36</f>
        <v>6.2580343055555557E-3</v>
      </c>
      <c r="E38" s="53">
        <f>E37/E36</f>
        <v>6.1727422571543726E-3</v>
      </c>
    </row>
    <row r="40" spans="1:5" x14ac:dyDescent="0.35">
      <c r="A40" t="s">
        <v>362</v>
      </c>
      <c r="B40" s="44">
        <f>B36*Assumptions!$B$81</f>
        <v>1218750</v>
      </c>
      <c r="C40" s="44">
        <f>C36*Assumptions!$B$81</f>
        <v>8750000</v>
      </c>
      <c r="D40" s="44">
        <f>D36*Assumptions!$B$81</f>
        <v>15000000</v>
      </c>
      <c r="E40" s="44">
        <f>E36*Assumptions!$B$81</f>
        <v>5168750</v>
      </c>
    </row>
    <row r="41" spans="1:5" x14ac:dyDescent="0.35">
      <c r="A41" s="37" t="s">
        <v>363</v>
      </c>
      <c r="B41" s="52">
        <f>B37/B40</f>
        <v>4.9328561025641024E-2</v>
      </c>
      <c r="C41" s="52">
        <f>C37/C40</f>
        <v>4.8697949523809521E-2</v>
      </c>
      <c r="D41" s="52">
        <f>D37/D40</f>
        <v>5.0064274444444445E-2</v>
      </c>
      <c r="E41" s="52">
        <f>E37/E40</f>
        <v>4.9381938057234981E-2</v>
      </c>
    </row>
    <row r="43" spans="1:5" x14ac:dyDescent="0.35">
      <c r="A43" s="38" t="s">
        <v>372</v>
      </c>
    </row>
    <row r="44" spans="1:5" x14ac:dyDescent="0.35">
      <c r="A44" t="s">
        <v>374</v>
      </c>
      <c r="B44" s="55">
        <f>Assumptions!$B$35</f>
        <v>6.5000000000000002E-2</v>
      </c>
      <c r="C44" s="55">
        <f>Assumptions!$B$35*(1-Assumptions!$B$37)</f>
        <v>5.8500000000000003E-2</v>
      </c>
    </row>
    <row r="45" spans="1:5" x14ac:dyDescent="0.35">
      <c r="A45" s="37" t="s">
        <v>375</v>
      </c>
      <c r="B45" s="52">
        <f>Assumptions!$B$37</f>
        <v>0.1</v>
      </c>
    </row>
    <row r="47" spans="1:5" x14ac:dyDescent="0.35">
      <c r="A47" t="s">
        <v>373</v>
      </c>
      <c r="B47" s="44">
        <f>B23</f>
        <v>4634.8087499999974</v>
      </c>
      <c r="C47" s="44">
        <f>C23</f>
        <v>30898.724999999991</v>
      </c>
      <c r="D47" s="44">
        <f>D23</f>
        <v>61797.450000000026</v>
      </c>
      <c r="E47" s="44">
        <f>E23</f>
        <v>19775.184000000001</v>
      </c>
    </row>
    <row r="48" spans="1:5" x14ac:dyDescent="0.35">
      <c r="A48" s="37" t="s">
        <v>376</v>
      </c>
      <c r="B48" s="56">
        <f>B47/B36</f>
        <v>4.7536499999999973E-4</v>
      </c>
      <c r="C48" s="56">
        <f>C47/C36</f>
        <v>4.41410357142857E-4</v>
      </c>
      <c r="D48" s="56">
        <f>D47/D36</f>
        <v>5.1497875000000018E-4</v>
      </c>
      <c r="E48" s="56">
        <f>E47/E36</f>
        <v>4.7823903264812578E-4</v>
      </c>
    </row>
    <row r="50" spans="1:6" x14ac:dyDescent="0.35">
      <c r="A50" s="38" t="s">
        <v>377</v>
      </c>
    </row>
    <row r="51" spans="1:6" x14ac:dyDescent="0.35">
      <c r="A51" t="s">
        <v>378</v>
      </c>
      <c r="B51" s="57">
        <f>Assumptions!$B$29*Assumptions!$B$30</f>
        <v>5.6249999999999998E-3</v>
      </c>
    </row>
    <row r="52" spans="1:6" x14ac:dyDescent="0.35">
      <c r="A52" t="s">
        <v>379</v>
      </c>
      <c r="B52" s="49">
        <f>Assumptions!$B$31</f>
        <v>0.9</v>
      </c>
    </row>
    <row r="53" spans="1:6" x14ac:dyDescent="0.35">
      <c r="A53" s="37" t="s">
        <v>380</v>
      </c>
      <c r="B53" s="56">
        <f>Assumptions!$B$29*Assumptions!$B$30*Assumptions!$B$31</f>
        <v>5.0625000000000002E-3</v>
      </c>
    </row>
    <row r="55" spans="1:6" x14ac:dyDescent="0.35">
      <c r="A55" s="46" t="s">
        <v>381</v>
      </c>
      <c r="B55" s="58">
        <f>B22/B36</f>
        <v>5.0625000000000002E-3</v>
      </c>
      <c r="C55" s="58">
        <f>C22/C36</f>
        <v>5.0625000000000002E-3</v>
      </c>
      <c r="D55" s="58">
        <f>D22/D36</f>
        <v>5.0625000000000002E-3</v>
      </c>
    </row>
    <row r="57" spans="1:6" x14ac:dyDescent="0.35">
      <c r="A57" s="38" t="s">
        <v>382</v>
      </c>
    </row>
    <row r="58" spans="1:6" x14ac:dyDescent="0.35">
      <c r="A58" t="s">
        <v>383</v>
      </c>
      <c r="B58" s="59">
        <f>Assumptions!$B$25</f>
        <v>4.5</v>
      </c>
    </row>
    <row r="59" spans="1:6" x14ac:dyDescent="0.35">
      <c r="A59" s="37" t="s">
        <v>384</v>
      </c>
      <c r="B59" s="52">
        <f>1-1/Assumptions!$B$25</f>
        <v>0.77777777777777779</v>
      </c>
    </row>
    <row r="61" spans="1:6" x14ac:dyDescent="0.35">
      <c r="A61" s="46" t="s">
        <v>385</v>
      </c>
      <c r="B61" s="60">
        <f>'Client — Small'!B13/'Client — Small'!B11</f>
        <v>0.77777777777777779</v>
      </c>
      <c r="C61" s="60">
        <f>'Client — Medium'!B13/'Client — Medium'!B11</f>
        <v>0.77777777777777768</v>
      </c>
      <c r="D61" s="60">
        <f>'Client — Large'!B13/'Client — Large'!B11</f>
        <v>0.77777777777777768</v>
      </c>
    </row>
    <row r="64" spans="1:6" ht="15" x14ac:dyDescent="0.4">
      <c r="A64" s="67" t="s">
        <v>680</v>
      </c>
      <c r="B64" s="68"/>
      <c r="C64" s="68"/>
      <c r="D64" s="68"/>
      <c r="E64" s="68"/>
      <c r="F64" s="68"/>
    </row>
    <row r="65" spans="1:6" x14ac:dyDescent="0.35">
      <c r="A65" s="38" t="s">
        <v>24</v>
      </c>
      <c r="B65" s="71" t="s">
        <v>589</v>
      </c>
      <c r="C65" s="71" t="s">
        <v>590</v>
      </c>
      <c r="D65" s="71" t="s">
        <v>591</v>
      </c>
      <c r="E65" s="71" t="s">
        <v>592</v>
      </c>
      <c r="F65" s="71" t="s">
        <v>593</v>
      </c>
    </row>
    <row r="66" spans="1:6" x14ac:dyDescent="0.35">
      <c r="A66" t="s">
        <v>681</v>
      </c>
      <c r="B66" s="44">
        <f>Assumptions!$B$129</f>
        <v>2990</v>
      </c>
      <c r="C66" s="44">
        <f>Assumptions!$B$129</f>
        <v>2990</v>
      </c>
      <c r="D66" s="44">
        <f>Assumptions!$B$130</f>
        <v>5000</v>
      </c>
      <c r="E66" s="44">
        <f>Assumptions!$B$130</f>
        <v>5000</v>
      </c>
      <c r="F66" s="44">
        <f>Assumptions!$B$130</f>
        <v>5000</v>
      </c>
    </row>
    <row r="67" spans="1:6" x14ac:dyDescent="0.35">
      <c r="A67" t="s">
        <v>682</v>
      </c>
      <c r="B67" t="str">
        <f>Assumptions!B133&amp;"/"&amp;Assumptions!B134&amp;"/"&amp;Assumptions!B135</f>
        <v>0.9/0.1/0</v>
      </c>
      <c r="C67" t="str">
        <f>Assumptions!C133&amp;"/"&amp;Assumptions!C134&amp;"/"&amp;Assumptions!C135</f>
        <v>0.75/0.2/0.05</v>
      </c>
      <c r="D67" t="str">
        <f>Assumptions!D133&amp;"/"&amp;Assumptions!D134&amp;"/"&amp;Assumptions!D135</f>
        <v>0.6/0.25/0.15</v>
      </c>
      <c r="E67" t="str">
        <f>Assumptions!E133&amp;"/"&amp;Assumptions!E134&amp;"/"&amp;Assumptions!E135</f>
        <v>0.5/0.3/0.2</v>
      </c>
      <c r="F67" t="str">
        <f>Assumptions!F133&amp;"/"&amp;Assumptions!F134&amp;"/"&amp;Assumptions!F135</f>
        <v>0.45/0.3/0.25</v>
      </c>
    </row>
    <row r="68" spans="1:6" x14ac:dyDescent="0.35">
      <c r="A68" s="37" t="s">
        <v>683</v>
      </c>
      <c r="B68" s="42">
        <f>B66*Assumptions!B133+Assumptions!$B$56*Assumptions!B134+Assumptions!$B$57*Assumptions!B135</f>
        <v>3391</v>
      </c>
      <c r="C68" s="42">
        <f>C66*Assumptions!C133+Assumptions!$B$56*Assumptions!C134+Assumptions!$B$57*Assumptions!C135</f>
        <v>4242.5</v>
      </c>
      <c r="D68" s="42">
        <f>D66*Assumptions!D133+Assumptions!$B$56*Assumptions!D134+Assumptions!$B$57*Assumptions!D135</f>
        <v>6550</v>
      </c>
      <c r="E68" s="42">
        <f>E66*Assumptions!E133+Assumptions!$B$56*Assumptions!E134+Assumptions!$B$57*Assumptions!E135</f>
        <v>7000</v>
      </c>
      <c r="F68" s="42">
        <f>F66*Assumptions!F133+Assumptions!$B$56*Assumptions!F134+Assumptions!$B$57*Assumptions!F135</f>
        <v>7350</v>
      </c>
    </row>
    <row r="69" spans="1:6" x14ac:dyDescent="0.35">
      <c r="A69" s="74" t="s">
        <v>684</v>
      </c>
      <c r="B69" s="75">
        <f>B68*12</f>
        <v>40692</v>
      </c>
      <c r="C69" s="75">
        <f>C68*12</f>
        <v>50910</v>
      </c>
      <c r="D69" s="75">
        <f>D68*12</f>
        <v>78600</v>
      </c>
      <c r="E69" s="75">
        <f>E68*12</f>
        <v>84000</v>
      </c>
      <c r="F69" s="75">
        <f>F68*12</f>
        <v>88200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8476-F8AA-40C6-AC39-BF7D8C6D1A36}">
  <dimension ref="A1:E29"/>
  <sheetViews>
    <sheetView showGridLines="0" workbookViewId="0">
      <pane ySplit="4" topLeftCell="A10" activePane="bottomLeft" state="frozen"/>
      <selection pane="bottomLeft" activeCell="B11" sqref="B11"/>
    </sheetView>
  </sheetViews>
  <sheetFormatPr defaultRowHeight="13.5" x14ac:dyDescent="0.35"/>
  <cols>
    <col min="1" max="1" width="56.6875" customWidth="1"/>
    <col min="2" max="2" width="18.3125" customWidth="1"/>
    <col min="3" max="4" width="15" customWidth="1"/>
    <col min="5" max="5" width="70" customWidth="1"/>
  </cols>
  <sheetData>
    <row r="1" spans="1:5" ht="18" x14ac:dyDescent="0.55000000000000004">
      <c r="A1" s="4" t="s">
        <v>458</v>
      </c>
    </row>
    <row r="2" spans="1:5" x14ac:dyDescent="0.35">
      <c r="A2" s="3" t="s">
        <v>459</v>
      </c>
    </row>
    <row r="4" spans="1:5" ht="15" x14ac:dyDescent="0.4">
      <c r="A4" s="67" t="s">
        <v>460</v>
      </c>
      <c r="B4" s="68"/>
      <c r="C4" s="68"/>
      <c r="D4" s="68"/>
      <c r="E4" s="68"/>
    </row>
    <row r="5" spans="1:5" x14ac:dyDescent="0.35">
      <c r="A5" s="38" t="s">
        <v>461</v>
      </c>
      <c r="B5" s="61"/>
      <c r="C5" s="61"/>
      <c r="D5" s="61"/>
      <c r="E5" s="61"/>
    </row>
    <row r="6" spans="1:5" x14ac:dyDescent="0.35">
      <c r="A6" t="s">
        <v>462</v>
      </c>
      <c r="E6" t="s">
        <v>463</v>
      </c>
    </row>
    <row r="7" spans="1:5" x14ac:dyDescent="0.35">
      <c r="A7" t="s">
        <v>464</v>
      </c>
      <c r="E7" t="s">
        <v>465</v>
      </c>
    </row>
    <row r="8" spans="1:5" x14ac:dyDescent="0.35">
      <c r="A8" t="s">
        <v>466</v>
      </c>
      <c r="E8" t="s">
        <v>467</v>
      </c>
    </row>
    <row r="10" spans="1:5" ht="15" x14ac:dyDescent="0.4">
      <c r="A10" s="67" t="s">
        <v>477</v>
      </c>
      <c r="B10" s="68"/>
      <c r="C10" s="68"/>
      <c r="D10" s="68"/>
      <c r="E10" s="68"/>
    </row>
    <row r="11" spans="1:5" x14ac:dyDescent="0.35">
      <c r="A11" s="38" t="s">
        <v>24</v>
      </c>
      <c r="B11" s="71" t="s">
        <v>188</v>
      </c>
      <c r="C11" s="71" t="s">
        <v>189</v>
      </c>
      <c r="D11" s="71" t="s">
        <v>190</v>
      </c>
      <c r="E11" s="71" t="s">
        <v>478</v>
      </c>
    </row>
    <row r="12" spans="1:5" x14ac:dyDescent="0.35">
      <c r="A12" t="s">
        <v>479</v>
      </c>
      <c r="B12" s="22">
        <f>Assumptions!$B$67</f>
        <v>50</v>
      </c>
      <c r="C12" s="22">
        <f>Assumptions!$B$98</f>
        <v>250</v>
      </c>
      <c r="D12" s="22">
        <f>Assumptions!$B$99</f>
        <v>666.66666666666674</v>
      </c>
      <c r="E12" t="s">
        <v>480</v>
      </c>
    </row>
    <row r="13" spans="1:5" x14ac:dyDescent="0.35">
      <c r="A13" t="s">
        <v>481</v>
      </c>
      <c r="B13" s="72">
        <f>Assumptions!$B$66</f>
        <v>15</v>
      </c>
      <c r="C13" s="72">
        <f>Assumptions!$B$66</f>
        <v>15</v>
      </c>
      <c r="D13" s="72">
        <f>Assumptions!$B$66</f>
        <v>15</v>
      </c>
      <c r="E13" t="s">
        <v>482</v>
      </c>
    </row>
    <row r="14" spans="1:5" x14ac:dyDescent="0.35">
      <c r="A14" s="37" t="s">
        <v>483</v>
      </c>
      <c r="B14" s="42">
        <f>B12*B13</f>
        <v>750</v>
      </c>
      <c r="C14" s="42">
        <f>C12*C13</f>
        <v>3750</v>
      </c>
      <c r="D14" s="42">
        <f>D12*D13</f>
        <v>10000.000000000002</v>
      </c>
    </row>
    <row r="15" spans="1:5" x14ac:dyDescent="0.35">
      <c r="A15" t="s">
        <v>484</v>
      </c>
      <c r="B15" s="73">
        <f>Assumptions!$B$43</f>
        <v>1.5</v>
      </c>
      <c r="C15" s="73">
        <f>Assumptions!$B$48</f>
        <v>2</v>
      </c>
      <c r="D15" s="73">
        <f>Assumptions!$B$53</f>
        <v>1.5</v>
      </c>
      <c r="E15" t="s">
        <v>485</v>
      </c>
    </row>
    <row r="16" spans="1:5" x14ac:dyDescent="0.35">
      <c r="A16" s="74" t="s">
        <v>486</v>
      </c>
      <c r="B16" s="75">
        <f>B14*B15</f>
        <v>1125</v>
      </c>
      <c r="C16" s="75">
        <f>C14*C15</f>
        <v>7500</v>
      </c>
      <c r="D16" s="75">
        <f>D14*D15</f>
        <v>15000.000000000004</v>
      </c>
    </row>
    <row r="18" spans="1:5" ht="15" x14ac:dyDescent="0.4">
      <c r="A18" s="67" t="s">
        <v>487</v>
      </c>
      <c r="B18" s="68"/>
      <c r="C18" s="68"/>
      <c r="D18" s="68"/>
      <c r="E18" s="68"/>
    </row>
    <row r="19" spans="1:5" x14ac:dyDescent="0.35">
      <c r="A19" s="38" t="s">
        <v>24</v>
      </c>
      <c r="B19" s="71" t="s">
        <v>188</v>
      </c>
      <c r="C19" s="71" t="s">
        <v>189</v>
      </c>
      <c r="D19" s="71" t="s">
        <v>190</v>
      </c>
      <c r="E19" s="71" t="s">
        <v>478</v>
      </c>
    </row>
    <row r="20" spans="1:5" x14ac:dyDescent="0.35">
      <c r="A20" t="s">
        <v>488</v>
      </c>
      <c r="B20" s="44">
        <f>'Client — Summary'!B8</f>
        <v>60000</v>
      </c>
      <c r="C20" s="44">
        <f>'Client — Summary'!C8</f>
        <v>84000</v>
      </c>
      <c r="D20" s="44">
        <f>'Client — Summary'!D8</f>
        <v>144000</v>
      </c>
      <c r="E20" t="s">
        <v>489</v>
      </c>
    </row>
    <row r="21" spans="1:5" x14ac:dyDescent="0.35">
      <c r="A21" t="s">
        <v>490</v>
      </c>
      <c r="B21" s="44">
        <f>-B16</f>
        <v>-1125</v>
      </c>
      <c r="C21" s="44">
        <f>-C16</f>
        <v>-7500</v>
      </c>
      <c r="D21" s="44">
        <f>-D16</f>
        <v>-15000.000000000004</v>
      </c>
    </row>
    <row r="22" spans="1:5" x14ac:dyDescent="0.35">
      <c r="A22" s="37" t="s">
        <v>491</v>
      </c>
      <c r="B22" s="42">
        <f>B20+B21</f>
        <v>58875</v>
      </c>
      <c r="C22" s="42">
        <f>C20+C21</f>
        <v>76500</v>
      </c>
      <c r="D22" s="42">
        <f>D20+D21</f>
        <v>129000</v>
      </c>
    </row>
    <row r="23" spans="1:5" x14ac:dyDescent="0.35">
      <c r="A23" s="74" t="s">
        <v>492</v>
      </c>
      <c r="B23" s="76">
        <f>B22/B20</f>
        <v>0.98124999999999996</v>
      </c>
      <c r="C23" s="76">
        <f>C22/C20</f>
        <v>0.9107142857142857</v>
      </c>
      <c r="D23" s="76">
        <f>D22/D20</f>
        <v>0.89583333333333337</v>
      </c>
      <c r="E23" t="s">
        <v>493</v>
      </c>
    </row>
    <row r="25" spans="1:5" ht="15" x14ac:dyDescent="0.4">
      <c r="A25" s="67" t="s">
        <v>494</v>
      </c>
      <c r="B25" s="68"/>
      <c r="C25" s="68"/>
      <c r="D25" s="68"/>
      <c r="E25" s="68"/>
    </row>
    <row r="26" spans="1:5" x14ac:dyDescent="0.35">
      <c r="A26" t="s">
        <v>495</v>
      </c>
      <c r="B26" s="77">
        <f>Assumptions!$B$102</f>
        <v>128</v>
      </c>
      <c r="C26" t="s">
        <v>475</v>
      </c>
      <c r="D26" t="s">
        <v>32</v>
      </c>
    </row>
    <row r="27" spans="1:5" x14ac:dyDescent="0.35">
      <c r="A27" t="s">
        <v>496</v>
      </c>
      <c r="B27" s="44">
        <f>B26*24*30*35</f>
        <v>3225600</v>
      </c>
      <c r="C27" t="s">
        <v>497</v>
      </c>
      <c r="E27" t="s">
        <v>498</v>
      </c>
    </row>
    <row r="28" spans="1:5" x14ac:dyDescent="0.35">
      <c r="A28" s="37" t="s">
        <v>499</v>
      </c>
      <c r="B28" s="78">
        <f>B27/Assumptions!$B$66</f>
        <v>215040</v>
      </c>
      <c r="C28" t="s">
        <v>500</v>
      </c>
      <c r="E28" s="79" t="s">
        <v>501</v>
      </c>
    </row>
    <row r="29" spans="1:5" x14ac:dyDescent="0.35">
      <c r="A29" s="74" t="s">
        <v>502</v>
      </c>
      <c r="B29" s="80">
        <f>B28/(B12/1)</f>
        <v>4300.8</v>
      </c>
      <c r="C29" t="s">
        <v>503</v>
      </c>
      <c r="E29" t="s">
        <v>504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C9E5-EB91-405D-ABFA-0ECD0E1F395A}">
  <dimension ref="A1:G28"/>
  <sheetViews>
    <sheetView showGridLines="0" topLeftCell="B1" workbookViewId="0">
      <pane ySplit="4" topLeftCell="A8" activePane="bottomLeft" state="frozen"/>
      <selection pane="bottomLeft" activeCell="F27" sqref="F27"/>
    </sheetView>
  </sheetViews>
  <sheetFormatPr defaultRowHeight="13.5" x14ac:dyDescent="0.35"/>
  <cols>
    <col min="1" max="1" width="56.6875" customWidth="1"/>
    <col min="2" max="5" width="18.3125" customWidth="1"/>
    <col min="6" max="6" width="70" customWidth="1"/>
  </cols>
  <sheetData>
    <row r="1" spans="1:7" ht="18" x14ac:dyDescent="0.55000000000000004">
      <c r="A1" s="4" t="s">
        <v>658</v>
      </c>
    </row>
    <row r="2" spans="1:7" x14ac:dyDescent="0.35">
      <c r="A2" s="3" t="s">
        <v>659</v>
      </c>
    </row>
    <row r="4" spans="1:7" ht="15" x14ac:dyDescent="0.4">
      <c r="A4" s="67" t="s">
        <v>660</v>
      </c>
      <c r="B4" s="68"/>
      <c r="C4" s="68"/>
      <c r="D4" s="68"/>
      <c r="E4" s="68"/>
      <c r="F4" s="68"/>
      <c r="G4" s="68"/>
    </row>
    <row r="5" spans="1:7" x14ac:dyDescent="0.35">
      <c r="A5" s="38" t="s">
        <v>661</v>
      </c>
      <c r="B5" s="71" t="s">
        <v>589</v>
      </c>
      <c r="C5" s="71" t="s">
        <v>590</v>
      </c>
      <c r="D5" s="71" t="s">
        <v>591</v>
      </c>
      <c r="E5" s="71" t="s">
        <v>592</v>
      </c>
      <c r="F5" s="71" t="s">
        <v>593</v>
      </c>
      <c r="G5" s="71" t="s">
        <v>478</v>
      </c>
    </row>
    <row r="6" spans="1:7" x14ac:dyDescent="0.35">
      <c r="A6" s="37" t="s">
        <v>206</v>
      </c>
      <c r="B6" s="22">
        <f>'Market — TopDown'!$B$13</f>
        <v>122</v>
      </c>
      <c r="C6" s="22">
        <f>'Market — TopDown'!$B$14</f>
        <v>213</v>
      </c>
      <c r="D6" s="22">
        <f>'Market — TopDown'!$B$15</f>
        <v>282</v>
      </c>
      <c r="E6" s="22">
        <f>'Market — TopDown'!$B$26</f>
        <v>564</v>
      </c>
      <c r="F6" s="22">
        <f>E6*Assumptions!$B$117</f>
        <v>1128</v>
      </c>
      <c r="G6" t="s">
        <v>662</v>
      </c>
    </row>
    <row r="7" spans="1:7" x14ac:dyDescent="0.35">
      <c r="A7" s="81" t="s">
        <v>53</v>
      </c>
      <c r="B7" s="41">
        <f>'Market — TopDown'!$C$13</f>
        <v>1086</v>
      </c>
      <c r="C7" s="41">
        <f>'Market — TopDown'!$C$14</f>
        <v>2015</v>
      </c>
      <c r="D7" s="41">
        <f>'Market — TopDown'!$C$15</f>
        <v>2810</v>
      </c>
      <c r="E7" s="41">
        <f>'Market — TopDown'!$C$26</f>
        <v>5620</v>
      </c>
      <c r="F7" s="41">
        <f>E7*Assumptions!$B$117</f>
        <v>11240</v>
      </c>
    </row>
    <row r="8" spans="1:7" x14ac:dyDescent="0.35">
      <c r="A8" s="37" t="s">
        <v>207</v>
      </c>
      <c r="B8" s="22">
        <f>'Market — TopDown'!$D$13</f>
        <v>5789</v>
      </c>
      <c r="C8" s="22">
        <f>'Market — TopDown'!$D$14</f>
        <v>11143</v>
      </c>
      <c r="D8" s="22">
        <f>'Market — TopDown'!$D$15</f>
        <v>16098</v>
      </c>
      <c r="E8" s="22">
        <f>'Market — TopDown'!$D$26</f>
        <v>32196</v>
      </c>
      <c r="F8" s="22">
        <f>E8*Assumptions!$B$117</f>
        <v>64392</v>
      </c>
    </row>
    <row r="10" spans="1:7" ht="15" x14ac:dyDescent="0.4">
      <c r="A10" s="67" t="s">
        <v>663</v>
      </c>
      <c r="B10" s="68"/>
      <c r="C10" s="68"/>
      <c r="D10" s="68"/>
      <c r="E10" s="68"/>
      <c r="F10" s="68"/>
      <c r="G10" s="68"/>
    </row>
    <row r="11" spans="1:7" x14ac:dyDescent="0.35">
      <c r="A11" s="38" t="s">
        <v>661</v>
      </c>
      <c r="B11" s="71" t="s">
        <v>589</v>
      </c>
      <c r="C11" s="71" t="s">
        <v>590</v>
      </c>
      <c r="D11" s="71" t="s">
        <v>591</v>
      </c>
      <c r="E11" s="71" t="s">
        <v>592</v>
      </c>
      <c r="F11" s="71" t="s">
        <v>593</v>
      </c>
    </row>
    <row r="12" spans="1:7" x14ac:dyDescent="0.35">
      <c r="A12" s="37" t="s">
        <v>206</v>
      </c>
      <c r="B12" s="44">
        <f>B6*(Assumptions!$B$133*'AI Infra — Unit Cost'!$B$16+Assumptions!$B$134*'AI Infra — Unit Cost'!$C$16+Assumptions!$B$135*'AI Infra — Unit Cost'!$D$16)</f>
        <v>215025</v>
      </c>
      <c r="C12" s="44">
        <f>C6*(Assumptions!$C$133*'AI Infra — Unit Cost'!$B$16+Assumptions!$C$134*'AI Infra — Unit Cost'!$C$16+Assumptions!$C$135*'AI Infra — Unit Cost'!$D$16)</f>
        <v>658968.75</v>
      </c>
      <c r="D12" s="44">
        <f>D6*(Assumptions!$D$133*'AI Infra — Unit Cost'!$B$16+Assumptions!$D$134*'AI Infra — Unit Cost'!$C$16+Assumptions!$D$135*'AI Infra — Unit Cost'!$D$16)</f>
        <v>1353600</v>
      </c>
      <c r="E12" s="44">
        <f>E6*(Assumptions!$E$133*'AI Infra — Unit Cost'!$B$16+Assumptions!$E$134*'AI Infra — Unit Cost'!$C$16+Assumptions!$E$135*'AI Infra — Unit Cost'!$D$16)</f>
        <v>3278250.0000000005</v>
      </c>
      <c r="F12" s="44">
        <f>F6*(Assumptions!$F$133*'AI Infra — Unit Cost'!$B$16+Assumptions!$F$134*'AI Infra — Unit Cost'!$C$16+Assumptions!$F$135*'AI Infra — Unit Cost'!$D$16)</f>
        <v>7339050.0000000019</v>
      </c>
    </row>
    <row r="13" spans="1:7" x14ac:dyDescent="0.35">
      <c r="A13" s="81" t="s">
        <v>53</v>
      </c>
      <c r="B13" s="101">
        <f>B7*(Assumptions!$B$133*'AI Infra — Unit Cost'!$B$16+Assumptions!$B$134*'AI Infra — Unit Cost'!$C$16+Assumptions!$B$135*'AI Infra — Unit Cost'!$D$16)</f>
        <v>1914075</v>
      </c>
      <c r="C13" s="101">
        <f>C7*(Assumptions!$C$133*'AI Infra — Unit Cost'!$B$16+Assumptions!$C$134*'AI Infra — Unit Cost'!$C$16+Assumptions!$C$135*'AI Infra — Unit Cost'!$D$16)</f>
        <v>6233906.25</v>
      </c>
      <c r="D13" s="101">
        <f>D7*(Assumptions!$D$133*'AI Infra — Unit Cost'!$B$16+Assumptions!$D$134*'AI Infra — Unit Cost'!$C$16+Assumptions!$D$135*'AI Infra — Unit Cost'!$D$16)</f>
        <v>13488000</v>
      </c>
      <c r="E13" s="101">
        <f>E7*(Assumptions!$E$133*'AI Infra — Unit Cost'!$B$16+Assumptions!$E$134*'AI Infra — Unit Cost'!$C$16+Assumptions!$E$135*'AI Infra — Unit Cost'!$D$16)</f>
        <v>32666250.000000004</v>
      </c>
      <c r="F13" s="101">
        <f>F7*(Assumptions!$F$133*'AI Infra — Unit Cost'!$B$16+Assumptions!$F$134*'AI Infra — Unit Cost'!$C$16+Assumptions!$F$135*'AI Infra — Unit Cost'!$D$16)</f>
        <v>73130250.000000015</v>
      </c>
    </row>
    <row r="14" spans="1:7" x14ac:dyDescent="0.35">
      <c r="A14" s="37" t="s">
        <v>207</v>
      </c>
      <c r="B14" s="44">
        <f>B8*(Assumptions!$B$133*'AI Infra — Unit Cost'!$B$16+Assumptions!$B$134*'AI Infra — Unit Cost'!$C$16+Assumptions!$B$135*'AI Infra — Unit Cost'!$D$16)</f>
        <v>10203112.5</v>
      </c>
      <c r="C14" s="44">
        <f>C8*(Assumptions!$C$133*'AI Infra — Unit Cost'!$B$16+Assumptions!$C$134*'AI Infra — Unit Cost'!$C$16+Assumptions!$C$135*'AI Infra — Unit Cost'!$D$16)</f>
        <v>34473656.25</v>
      </c>
      <c r="D14" s="44">
        <f>D8*(Assumptions!$D$133*'AI Infra — Unit Cost'!$B$16+Assumptions!$D$134*'AI Infra — Unit Cost'!$C$16+Assumptions!$D$135*'AI Infra — Unit Cost'!$D$16)</f>
        <v>77270400</v>
      </c>
      <c r="E14" s="44">
        <f>E8*(Assumptions!$E$133*'AI Infra — Unit Cost'!$B$16+Assumptions!$E$134*'AI Infra — Unit Cost'!$C$16+Assumptions!$E$135*'AI Infra — Unit Cost'!$D$16)</f>
        <v>187139250.00000003</v>
      </c>
      <c r="F14" s="44">
        <f>F8*(Assumptions!$F$133*'AI Infra — Unit Cost'!$B$16+Assumptions!$F$134*'AI Infra — Unit Cost'!$C$16+Assumptions!$F$135*'AI Infra — Unit Cost'!$D$16)</f>
        <v>418950450.00000012</v>
      </c>
    </row>
    <row r="16" spans="1:7" x14ac:dyDescent="0.35">
      <c r="A16" t="s">
        <v>664</v>
      </c>
      <c r="B16" s="44">
        <f>Assumptions!$B$63*Assumptions!$B$64*12+Assumptions!$B$65*12+Assumptions!$B$69*12</f>
        <v>3096000</v>
      </c>
    </row>
    <row r="18" spans="1:7" ht="15" x14ac:dyDescent="0.4">
      <c r="A18" s="67" t="s">
        <v>665</v>
      </c>
      <c r="B18" s="68"/>
      <c r="C18" s="68"/>
      <c r="D18" s="68"/>
      <c r="E18" s="68"/>
      <c r="F18" s="68"/>
      <c r="G18" s="68"/>
    </row>
    <row r="19" spans="1:7" x14ac:dyDescent="0.35">
      <c r="A19" s="38" t="s">
        <v>661</v>
      </c>
      <c r="B19" s="71" t="s">
        <v>589</v>
      </c>
      <c r="C19" s="71" t="s">
        <v>590</v>
      </c>
      <c r="D19" s="71" t="s">
        <v>591</v>
      </c>
      <c r="E19" s="71" t="s">
        <v>592</v>
      </c>
      <c r="F19" s="71" t="s">
        <v>593</v>
      </c>
      <c r="G19" s="71" t="s">
        <v>478</v>
      </c>
    </row>
    <row r="20" spans="1:7" x14ac:dyDescent="0.35">
      <c r="A20" s="37" t="s">
        <v>206</v>
      </c>
      <c r="B20" s="44">
        <f>$B$16+B6*Assumptions!$B$68</f>
        <v>3462000</v>
      </c>
      <c r="C20" s="44">
        <f>$B$16+(C6-B6)*Assumptions!$B$68</f>
        <v>3369000</v>
      </c>
      <c r="D20" s="44">
        <f>$B$16+(D6-C6)*Assumptions!$B$68</f>
        <v>3303000</v>
      </c>
      <c r="E20" s="44">
        <f>$B$16*(E6/D6)+(E6-D6)*Assumptions!$B$68</f>
        <v>7038000</v>
      </c>
      <c r="F20" s="44">
        <f>$B$16*(F6/D6)+(F6-E6)*Assumptions!$B$68</f>
        <v>14076000</v>
      </c>
      <c r="G20" t="s">
        <v>666</v>
      </c>
    </row>
    <row r="21" spans="1:7" x14ac:dyDescent="0.35">
      <c r="A21" s="81" t="s">
        <v>53</v>
      </c>
      <c r="B21" s="101">
        <f>$B$16+B7*Assumptions!$B$68</f>
        <v>6354000</v>
      </c>
      <c r="C21" s="101">
        <f>$B$16+(C7-B7)*Assumptions!$B$68</f>
        <v>5883000</v>
      </c>
      <c r="D21" s="101">
        <f>$B$16+(D7-C7)*Assumptions!$B$68</f>
        <v>5481000</v>
      </c>
      <c r="E21" s="101">
        <f>$B$16*(E7/D7)+(E7-D7)*Assumptions!$B$68</f>
        <v>14622000</v>
      </c>
      <c r="F21" s="101">
        <f>$B$16*(F7/D7)+(F7-E7)*Assumptions!$B$68</f>
        <v>29244000</v>
      </c>
    </row>
    <row r="22" spans="1:7" x14ac:dyDescent="0.35">
      <c r="A22" s="37" t="s">
        <v>207</v>
      </c>
      <c r="B22" s="44">
        <f>$B$16+B8*Assumptions!$B$68</f>
        <v>20463000</v>
      </c>
      <c r="C22" s="44">
        <f>$B$16+(C8-B8)*Assumptions!$B$68</f>
        <v>19158000</v>
      </c>
      <c r="D22" s="44">
        <f>$B$16+(D8-C8)*Assumptions!$B$68</f>
        <v>17961000</v>
      </c>
      <c r="E22" s="44">
        <f>$B$16*(E8/D8)+(E8-D8)*Assumptions!$B$68</f>
        <v>54486000</v>
      </c>
      <c r="F22" s="44">
        <f>$B$16*(F8/D8)+(F8-E8)*Assumptions!$B$68</f>
        <v>108972000</v>
      </c>
    </row>
    <row r="24" spans="1:7" ht="15" x14ac:dyDescent="0.4">
      <c r="A24" s="67" t="s">
        <v>667</v>
      </c>
      <c r="B24" s="68"/>
      <c r="C24" s="68"/>
      <c r="D24" s="68"/>
      <c r="E24" s="68"/>
      <c r="F24" s="68"/>
      <c r="G24" s="68"/>
    </row>
    <row r="25" spans="1:7" x14ac:dyDescent="0.35">
      <c r="A25" s="38" t="s">
        <v>661</v>
      </c>
      <c r="B25" s="71" t="s">
        <v>589</v>
      </c>
      <c r="C25" s="71" t="s">
        <v>590</v>
      </c>
      <c r="D25" s="71" t="s">
        <v>591</v>
      </c>
      <c r="E25" s="71" t="s">
        <v>592</v>
      </c>
      <c r="F25" s="71" t="s">
        <v>593</v>
      </c>
    </row>
    <row r="26" spans="1:7" x14ac:dyDescent="0.35">
      <c r="A26" s="74" t="s">
        <v>206</v>
      </c>
      <c r="B26" s="75">
        <f t="shared" ref="B26:F28" si="0">B12+B20</f>
        <v>3677025</v>
      </c>
      <c r="C26" s="75">
        <f t="shared" si="0"/>
        <v>4027968.75</v>
      </c>
      <c r="D26" s="75">
        <f t="shared" si="0"/>
        <v>4656600</v>
      </c>
      <c r="E26" s="75">
        <f t="shared" si="0"/>
        <v>10316250</v>
      </c>
      <c r="F26" s="75">
        <f t="shared" si="0"/>
        <v>21415050</v>
      </c>
    </row>
    <row r="27" spans="1:7" x14ac:dyDescent="0.35">
      <c r="A27" s="81" t="s">
        <v>53</v>
      </c>
      <c r="B27" s="114">
        <f t="shared" si="0"/>
        <v>8268075</v>
      </c>
      <c r="C27" s="114">
        <f t="shared" si="0"/>
        <v>12116906.25</v>
      </c>
      <c r="D27" s="114">
        <f t="shared" si="0"/>
        <v>18969000</v>
      </c>
      <c r="E27" s="114">
        <f t="shared" si="0"/>
        <v>47288250</v>
      </c>
      <c r="F27" s="114">
        <f t="shared" si="0"/>
        <v>102374250.00000001</v>
      </c>
    </row>
    <row r="28" spans="1:7" x14ac:dyDescent="0.35">
      <c r="A28" s="74" t="s">
        <v>207</v>
      </c>
      <c r="B28" s="75">
        <f t="shared" si="0"/>
        <v>30666112.5</v>
      </c>
      <c r="C28" s="75">
        <f t="shared" si="0"/>
        <v>53631656.25</v>
      </c>
      <c r="D28" s="75">
        <f t="shared" si="0"/>
        <v>95231400</v>
      </c>
      <c r="E28" s="75">
        <f t="shared" si="0"/>
        <v>241625250.00000003</v>
      </c>
      <c r="F28" s="75">
        <f t="shared" si="0"/>
        <v>527922450.00000012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BCDB-882C-4908-9FDE-1D237C1851B0}">
  <dimension ref="A1:E22"/>
  <sheetViews>
    <sheetView showGridLines="0" workbookViewId="0">
      <pane ySplit="4" topLeftCell="A5" activePane="bottomLeft" state="frozen"/>
      <selection pane="bottomLeft" activeCell="C21" sqref="C21"/>
    </sheetView>
  </sheetViews>
  <sheetFormatPr defaultRowHeight="13.5" x14ac:dyDescent="0.35"/>
  <cols>
    <col min="1" max="1" width="56.6875" customWidth="1"/>
    <col min="2" max="4" width="21.6875" customWidth="1"/>
    <col min="5" max="5" width="70" customWidth="1"/>
  </cols>
  <sheetData>
    <row r="1" spans="1:5" ht="18" x14ac:dyDescent="0.55000000000000004">
      <c r="A1" s="4" t="s">
        <v>506</v>
      </c>
    </row>
    <row r="2" spans="1:5" x14ac:dyDescent="0.35">
      <c r="A2" s="3" t="s">
        <v>507</v>
      </c>
    </row>
    <row r="4" spans="1:5" ht="15" x14ac:dyDescent="0.4">
      <c r="A4" s="67" t="s">
        <v>508</v>
      </c>
      <c r="B4" s="68"/>
      <c r="C4" s="68"/>
      <c r="D4" s="68"/>
      <c r="E4" s="68"/>
    </row>
    <row r="5" spans="1:5" x14ac:dyDescent="0.35">
      <c r="A5" s="38" t="s">
        <v>24</v>
      </c>
      <c r="B5" s="71" t="s">
        <v>188</v>
      </c>
      <c r="C5" s="71" t="s">
        <v>189</v>
      </c>
      <c r="D5" s="71" t="s">
        <v>190</v>
      </c>
      <c r="E5" s="71" t="s">
        <v>478</v>
      </c>
    </row>
    <row r="6" spans="1:5" x14ac:dyDescent="0.35">
      <c r="A6" t="s">
        <v>509</v>
      </c>
      <c r="B6" s="44">
        <f>Assumptions!$B$55</f>
        <v>5000</v>
      </c>
      <c r="C6" s="44">
        <f>Assumptions!$B$56</f>
        <v>7000</v>
      </c>
      <c r="D6" s="44">
        <f>Assumptions!$B$57</f>
        <v>12000</v>
      </c>
      <c r="E6" t="s">
        <v>510</v>
      </c>
    </row>
    <row r="7" spans="1:5" x14ac:dyDescent="0.35">
      <c r="A7" t="s">
        <v>511</v>
      </c>
      <c r="B7" s="44">
        <f>'AI Infra — Unit Cost'!$B$16/12</f>
        <v>93.75</v>
      </c>
      <c r="C7" s="44">
        <f>'AI Infra — Unit Cost'!$C$16/12</f>
        <v>625</v>
      </c>
      <c r="D7" s="44">
        <f>'AI Infra — Unit Cost'!$D$16/12</f>
        <v>1250.0000000000002</v>
      </c>
    </row>
    <row r="8" spans="1:5" x14ac:dyDescent="0.35">
      <c r="A8" t="s">
        <v>668</v>
      </c>
      <c r="B8" s="44">
        <f>'Cost Structure'!$D$21/'Cost Structure'!$D$7/12</f>
        <v>162.54448398576514</v>
      </c>
      <c r="C8" s="44">
        <f>B8</f>
        <v>162.54448398576514</v>
      </c>
      <c r="D8" s="44">
        <f>B8</f>
        <v>162.54448398576514</v>
      </c>
      <c r="E8" t="s">
        <v>512</v>
      </c>
    </row>
    <row r="9" spans="1:5" x14ac:dyDescent="0.35">
      <c r="A9" s="37" t="s">
        <v>513</v>
      </c>
      <c r="B9" s="42">
        <f>B7+B8</f>
        <v>256.29448398576517</v>
      </c>
      <c r="C9" s="42">
        <f>C7+C8</f>
        <v>787.54448398576517</v>
      </c>
      <c r="D9" s="42">
        <f>D7+D8</f>
        <v>1412.5444839857653</v>
      </c>
    </row>
    <row r="10" spans="1:5" x14ac:dyDescent="0.35">
      <c r="A10" s="74" t="s">
        <v>514</v>
      </c>
      <c r="B10" s="75">
        <f>B6-B9</f>
        <v>4743.7055160142345</v>
      </c>
      <c r="C10" s="75">
        <f>C6-C9</f>
        <v>6212.4555160142345</v>
      </c>
      <c r="D10" s="75">
        <f>D6-D9</f>
        <v>10587.455516014235</v>
      </c>
    </row>
    <row r="11" spans="1:5" x14ac:dyDescent="0.35">
      <c r="A11" s="74" t="s">
        <v>515</v>
      </c>
      <c r="B11" s="76">
        <f>B10/B6</f>
        <v>0.94874110320284688</v>
      </c>
      <c r="C11" s="76">
        <f>C10/C6</f>
        <v>0.8874936451448906</v>
      </c>
      <c r="D11" s="76">
        <f>D10/D6</f>
        <v>0.88228795966785289</v>
      </c>
    </row>
    <row r="13" spans="1:5" ht="15" x14ac:dyDescent="0.4">
      <c r="A13" s="67" t="s">
        <v>516</v>
      </c>
      <c r="B13" s="68"/>
      <c r="C13" s="68"/>
      <c r="D13" s="68"/>
      <c r="E13" s="68"/>
    </row>
    <row r="14" spans="1:5" x14ac:dyDescent="0.35">
      <c r="A14" s="38" t="s">
        <v>24</v>
      </c>
      <c r="B14" s="71" t="s">
        <v>188</v>
      </c>
      <c r="C14" s="71" t="s">
        <v>189</v>
      </c>
      <c r="D14" s="71" t="s">
        <v>190</v>
      </c>
      <c r="E14" s="71" t="s">
        <v>478</v>
      </c>
    </row>
    <row r="15" spans="1:5" x14ac:dyDescent="0.35">
      <c r="A15" t="s">
        <v>517</v>
      </c>
      <c r="B15" s="44">
        <f>'Client — Small'!$B$25</f>
        <v>60119.183749999997</v>
      </c>
      <c r="C15" s="44">
        <f>'Client — Medium'!$B$25</f>
        <v>426107.05833333329</v>
      </c>
      <c r="D15" s="44">
        <f>'Client — Large'!$B$25</f>
        <v>750964.1166666667</v>
      </c>
      <c r="E15" t="s">
        <v>518</v>
      </c>
    </row>
    <row r="16" spans="1:5" x14ac:dyDescent="0.35">
      <c r="A16" t="s">
        <v>519</v>
      </c>
      <c r="B16" s="44">
        <f>B6*12</f>
        <v>60000</v>
      </c>
      <c r="C16" s="44">
        <f>C6*12</f>
        <v>84000</v>
      </c>
      <c r="D16" s="44">
        <f>D6*12</f>
        <v>144000</v>
      </c>
    </row>
    <row r="17" spans="1:5" x14ac:dyDescent="0.35">
      <c r="A17" s="74" t="s">
        <v>520</v>
      </c>
      <c r="B17" s="83">
        <f>B15/B16</f>
        <v>1.0019863958333333</v>
      </c>
      <c r="C17" s="83">
        <f>C15/C16</f>
        <v>5.0727030753968245</v>
      </c>
      <c r="D17" s="83">
        <f>D15/D16</f>
        <v>5.215028587962963</v>
      </c>
      <c r="E17" t="s">
        <v>521</v>
      </c>
    </row>
    <row r="18" spans="1:5" x14ac:dyDescent="0.35">
      <c r="A18" s="84" t="s">
        <v>528</v>
      </c>
      <c r="B18" s="85"/>
      <c r="C18" s="85"/>
      <c r="D18" s="85"/>
      <c r="E18" t="s">
        <v>529</v>
      </c>
    </row>
    <row r="19" spans="1:5" ht="15" x14ac:dyDescent="0.4">
      <c r="A19" s="67" t="s">
        <v>522</v>
      </c>
      <c r="B19" s="68"/>
      <c r="C19" s="68"/>
      <c r="D19" s="68"/>
      <c r="E19" s="68"/>
    </row>
    <row r="20" spans="1:5" x14ac:dyDescent="0.35">
      <c r="A20" t="s">
        <v>523</v>
      </c>
      <c r="B20" t="str">
        <f>Competitors!$D$13</f>
        <v>฿1,050/ปี</v>
      </c>
      <c r="E20" t="s">
        <v>524</v>
      </c>
    </row>
    <row r="21" spans="1:5" x14ac:dyDescent="0.35">
      <c r="A21" t="s">
        <v>525</v>
      </c>
      <c r="B21" t="str">
        <f>Competitors!$D$10</f>
        <v>$299/user/เดือน (Growth), Custom (Enterprise)</v>
      </c>
      <c r="E21" t="s">
        <v>526</v>
      </c>
    </row>
    <row r="22" spans="1:5" x14ac:dyDescent="0.35">
      <c r="A22" s="74" t="s">
        <v>527</v>
      </c>
      <c r="B22" s="62"/>
      <c r="C22" s="62"/>
      <c r="D22" s="62"/>
      <c r="E22" s="6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E214-6E0D-49A8-AF2B-BC42B0ED959B}">
  <dimension ref="A1:G26"/>
  <sheetViews>
    <sheetView showGridLines="0" workbookViewId="0">
      <pane ySplit="4" topLeftCell="A5" activePane="bottomLeft" state="frozen"/>
      <selection pane="bottomLeft" activeCell="B21" sqref="B21"/>
    </sheetView>
  </sheetViews>
  <sheetFormatPr defaultRowHeight="13.5" x14ac:dyDescent="0.35"/>
  <cols>
    <col min="1" max="1" width="50" customWidth="1"/>
    <col min="2" max="6" width="18.3125" customWidth="1"/>
    <col min="7" max="7" width="66.6875" customWidth="1"/>
  </cols>
  <sheetData>
    <row r="1" spans="1:7" ht="18" x14ac:dyDescent="0.55000000000000004">
      <c r="A1" s="4" t="s">
        <v>586</v>
      </c>
    </row>
    <row r="2" spans="1:7" x14ac:dyDescent="0.35">
      <c r="A2" s="3" t="s">
        <v>587</v>
      </c>
    </row>
    <row r="4" spans="1:7" ht="15" x14ac:dyDescent="0.4">
      <c r="A4" s="67" t="s">
        <v>588</v>
      </c>
      <c r="B4" s="45" t="s">
        <v>589</v>
      </c>
      <c r="C4" s="45" t="s">
        <v>590</v>
      </c>
      <c r="D4" s="45" t="s">
        <v>591</v>
      </c>
      <c r="E4" s="45" t="s">
        <v>592</v>
      </c>
      <c r="F4" s="45" t="s">
        <v>593</v>
      </c>
      <c r="G4" s="45" t="s">
        <v>478</v>
      </c>
    </row>
    <row r="5" spans="1:7" x14ac:dyDescent="0.35">
      <c r="A5" t="s">
        <v>206</v>
      </c>
      <c r="B5" s="22">
        <f>'Market — TopDown'!B13</f>
        <v>122</v>
      </c>
      <c r="C5" s="22">
        <f>'Market — TopDown'!B14</f>
        <v>213</v>
      </c>
      <c r="D5" s="22">
        <f>'Market — TopDown'!B15</f>
        <v>282</v>
      </c>
      <c r="E5" s="22">
        <f>'Market — TopDown'!B26</f>
        <v>564</v>
      </c>
      <c r="F5" s="22">
        <f>E5*Assumptions!$B$117</f>
        <v>1128</v>
      </c>
      <c r="G5" t="s">
        <v>594</v>
      </c>
    </row>
    <row r="6" spans="1:7" x14ac:dyDescent="0.35">
      <c r="A6" t="s">
        <v>53</v>
      </c>
      <c r="B6" s="22">
        <f>'Market — TopDown'!C13</f>
        <v>1086</v>
      </c>
      <c r="C6" s="22">
        <f>'Market — TopDown'!C14</f>
        <v>2015</v>
      </c>
      <c r="D6" s="22">
        <f>'Market — TopDown'!C15</f>
        <v>2810</v>
      </c>
      <c r="E6" s="22">
        <f>'Market — TopDown'!C26</f>
        <v>5620</v>
      </c>
      <c r="F6" s="22">
        <f>E6*Assumptions!$B$117</f>
        <v>11240</v>
      </c>
      <c r="G6" t="s">
        <v>595</v>
      </c>
    </row>
    <row r="7" spans="1:7" x14ac:dyDescent="0.35">
      <c r="A7" s="69" t="s">
        <v>207</v>
      </c>
      <c r="B7" s="41">
        <f>'Market — TopDown'!D13</f>
        <v>5789</v>
      </c>
      <c r="C7" s="41">
        <f>'Market — TopDown'!D14</f>
        <v>11143</v>
      </c>
      <c r="D7" s="41">
        <f>'Market — TopDown'!D15</f>
        <v>16098</v>
      </c>
      <c r="E7" s="41">
        <f>'Market — TopDown'!D26</f>
        <v>32196</v>
      </c>
      <c r="F7" s="41">
        <f>E7*Assumptions!$B$117</f>
        <v>64392</v>
      </c>
    </row>
    <row r="9" spans="1:7" ht="15" x14ac:dyDescent="0.4">
      <c r="A9" s="67" t="s">
        <v>596</v>
      </c>
      <c r="B9" s="68"/>
      <c r="C9" s="68"/>
      <c r="D9" s="68"/>
      <c r="E9" s="68"/>
      <c r="F9" s="68"/>
      <c r="G9" s="68"/>
    </row>
    <row r="10" spans="1:7" x14ac:dyDescent="0.35">
      <c r="A10" t="s">
        <v>206</v>
      </c>
      <c r="B10" s="44">
        <f>B5*'Client — Summary'!$B$69</f>
        <v>4964424</v>
      </c>
      <c r="C10" s="44">
        <f>C5*'Client — Summary'!$C$69</f>
        <v>10843830</v>
      </c>
      <c r="D10" s="44">
        <f>D5*'Client — Summary'!$D$69</f>
        <v>22165200</v>
      </c>
      <c r="E10" s="44">
        <f>E5*'Client — Summary'!$E$69</f>
        <v>47376000</v>
      </c>
      <c r="F10" s="44">
        <f>F5*'Client — Summary'!$F$69</f>
        <v>99489600</v>
      </c>
      <c r="G10" t="s">
        <v>597</v>
      </c>
    </row>
    <row r="11" spans="1:7" x14ac:dyDescent="0.35">
      <c r="A11" t="s">
        <v>53</v>
      </c>
      <c r="B11" s="44">
        <f>B6*'Client — Summary'!$B$69</f>
        <v>44191512</v>
      </c>
      <c r="C11" s="44">
        <f>C6*'Client — Summary'!$C$69</f>
        <v>102583650</v>
      </c>
      <c r="D11" s="44">
        <f>D6*'Client — Summary'!$D$69</f>
        <v>220866000</v>
      </c>
      <c r="E11" s="44">
        <f>E6*'Client — Summary'!$E$69</f>
        <v>472080000</v>
      </c>
      <c r="F11" s="44">
        <f>F6*'Client — Summary'!$F$69</f>
        <v>991368000</v>
      </c>
    </row>
    <row r="12" spans="1:7" x14ac:dyDescent="0.35">
      <c r="A12" s="69" t="s">
        <v>207</v>
      </c>
      <c r="B12" s="101">
        <f>B7*'Client — Summary'!$B$69</f>
        <v>235565988</v>
      </c>
      <c r="C12" s="101">
        <f>C7*'Client — Summary'!$C$69</f>
        <v>567290130</v>
      </c>
      <c r="D12" s="101">
        <f>D7*'Client — Summary'!$D$69</f>
        <v>1265302800</v>
      </c>
      <c r="E12" s="101">
        <f>E7*'Client — Summary'!$E$69</f>
        <v>2704464000</v>
      </c>
      <c r="F12" s="101">
        <f>F7*'Client — Summary'!$F$69</f>
        <v>5679374400</v>
      </c>
    </row>
    <row r="14" spans="1:7" ht="15" x14ac:dyDescent="0.4">
      <c r="A14" s="67" t="s">
        <v>598</v>
      </c>
      <c r="B14" s="68"/>
      <c r="C14" s="68"/>
      <c r="D14" s="68"/>
      <c r="E14" s="68"/>
      <c r="F14" s="68"/>
      <c r="G14" s="68"/>
    </row>
    <row r="15" spans="1:7" x14ac:dyDescent="0.35">
      <c r="A15" t="s">
        <v>206</v>
      </c>
      <c r="B15" s="44">
        <f>'Cost Structure'!$B$26</f>
        <v>3677025</v>
      </c>
      <c r="C15" s="44">
        <f>'Cost Structure'!$C$26</f>
        <v>4027968.75</v>
      </c>
      <c r="D15" s="44">
        <f>'Cost Structure'!$D$26</f>
        <v>4656600</v>
      </c>
      <c r="E15" s="44">
        <f>'Cost Structure'!$E$26</f>
        <v>10316250</v>
      </c>
      <c r="F15" s="44">
        <f>'Cost Structure'!$F$26</f>
        <v>21415050</v>
      </c>
      <c r="G15" t="s">
        <v>599</v>
      </c>
    </row>
    <row r="16" spans="1:7" x14ac:dyDescent="0.35">
      <c r="A16" t="s">
        <v>53</v>
      </c>
      <c r="B16" s="44">
        <f>'Cost Structure'!$B$27</f>
        <v>8268075</v>
      </c>
      <c r="C16" s="44">
        <f>'Cost Structure'!$C$27</f>
        <v>12116906.25</v>
      </c>
      <c r="D16" s="44">
        <f>'Cost Structure'!$D$27</f>
        <v>18969000</v>
      </c>
      <c r="E16" s="44">
        <f>'Cost Structure'!$E$27</f>
        <v>47288250</v>
      </c>
      <c r="F16" s="44">
        <f>'Cost Structure'!$F$27</f>
        <v>102374250.00000001</v>
      </c>
    </row>
    <row r="17" spans="1:7" x14ac:dyDescent="0.35">
      <c r="A17" s="69" t="s">
        <v>207</v>
      </c>
      <c r="B17" s="101">
        <f>'Cost Structure'!$B$28</f>
        <v>30666112.5</v>
      </c>
      <c r="C17" s="101">
        <f>'Cost Structure'!$C$28</f>
        <v>53631656.25</v>
      </c>
      <c r="D17" s="101">
        <f>'Cost Structure'!$D$28</f>
        <v>95231400</v>
      </c>
      <c r="E17" s="101">
        <f>'Cost Structure'!$E$28</f>
        <v>241625250.00000003</v>
      </c>
      <c r="F17" s="101">
        <f>'Cost Structure'!$F$28</f>
        <v>527922450.00000012</v>
      </c>
    </row>
    <row r="19" spans="1:7" ht="15" x14ac:dyDescent="0.4">
      <c r="A19" s="67" t="s">
        <v>600</v>
      </c>
      <c r="B19" s="68"/>
      <c r="C19" s="68"/>
      <c r="D19" s="68"/>
      <c r="E19" s="68"/>
      <c r="F19" s="68"/>
      <c r="G19" s="68"/>
    </row>
    <row r="20" spans="1:7" x14ac:dyDescent="0.35">
      <c r="A20" t="s">
        <v>206</v>
      </c>
      <c r="B20" s="44">
        <f t="shared" ref="B20:F22" si="0">B10-B15</f>
        <v>1287399</v>
      </c>
      <c r="C20" s="44">
        <f t="shared" si="0"/>
        <v>6815861.25</v>
      </c>
      <c r="D20" s="44">
        <f t="shared" si="0"/>
        <v>17508600</v>
      </c>
      <c r="E20" s="44">
        <f t="shared" si="0"/>
        <v>37059750</v>
      </c>
      <c r="F20" s="44">
        <f t="shared" si="0"/>
        <v>78074550</v>
      </c>
    </row>
    <row r="21" spans="1:7" x14ac:dyDescent="0.35">
      <c r="A21" t="s">
        <v>53</v>
      </c>
      <c r="B21" s="44">
        <f t="shared" si="0"/>
        <v>35923437</v>
      </c>
      <c r="C21" s="44">
        <f t="shared" si="0"/>
        <v>90466743.75</v>
      </c>
      <c r="D21" s="44">
        <f t="shared" si="0"/>
        <v>201897000</v>
      </c>
      <c r="E21" s="44">
        <f t="shared" si="0"/>
        <v>424791750</v>
      </c>
      <c r="F21" s="44">
        <f t="shared" si="0"/>
        <v>888993750</v>
      </c>
    </row>
    <row r="22" spans="1:7" x14ac:dyDescent="0.35">
      <c r="A22" s="69" t="s">
        <v>207</v>
      </c>
      <c r="B22" s="101">
        <f t="shared" si="0"/>
        <v>204899875.5</v>
      </c>
      <c r="C22" s="101">
        <f t="shared" si="0"/>
        <v>513658473.75</v>
      </c>
      <c r="D22" s="101">
        <f t="shared" si="0"/>
        <v>1170071400</v>
      </c>
      <c r="E22" s="101">
        <f t="shared" si="0"/>
        <v>2462838750</v>
      </c>
      <c r="F22" s="101">
        <f t="shared" si="0"/>
        <v>5151451950</v>
      </c>
    </row>
    <row r="24" spans="1:7" x14ac:dyDescent="0.35">
      <c r="A24" s="74" t="s">
        <v>601</v>
      </c>
      <c r="B24" s="76">
        <f>B21/B11</f>
        <v>0.8129035503469535</v>
      </c>
      <c r="C24" s="76">
        <f>C21/C11</f>
        <v>0.88188267574803592</v>
      </c>
      <c r="D24" s="76">
        <f>D21/D11</f>
        <v>0.91411534595637178</v>
      </c>
      <c r="E24" s="76">
        <f>E21/E11</f>
        <v>0.8998300076258261</v>
      </c>
      <c r="F24" s="76">
        <f>F21/F11</f>
        <v>0.89673436100418813</v>
      </c>
    </row>
    <row r="26" spans="1:7" x14ac:dyDescent="0.35">
      <c r="A26" s="74" t="s">
        <v>602</v>
      </c>
      <c r="B26" s="83">
        <f>('Client — Summary'!$E$8*3)/Assumptions!$B$68</f>
        <v>78.599999999999994</v>
      </c>
      <c r="G26" t="s">
        <v>603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zoomScaleNormal="100" workbookViewId="0">
      <pane ySplit="4" topLeftCell="A5" activePane="bottomLeft" state="frozen"/>
      <selection pane="bottomLeft" activeCell="E24" sqref="E24"/>
    </sheetView>
  </sheetViews>
  <sheetFormatPr defaultRowHeight="13.5" x14ac:dyDescent="0.35"/>
  <cols>
    <col min="1" max="1" width="42" customWidth="1"/>
    <col min="2" max="5" width="18" customWidth="1"/>
    <col min="6" max="6" width="55" customWidth="1"/>
  </cols>
  <sheetData>
    <row r="1" spans="1:6" ht="18" x14ac:dyDescent="0.55000000000000004">
      <c r="A1" s="4" t="s">
        <v>199</v>
      </c>
    </row>
    <row r="2" spans="1:6" x14ac:dyDescent="0.35">
      <c r="A2" s="3" t="s">
        <v>200</v>
      </c>
    </row>
    <row r="4" spans="1:6" ht="15.75" x14ac:dyDescent="0.5">
      <c r="A4" s="5" t="s">
        <v>24</v>
      </c>
      <c r="B4" s="5" t="s">
        <v>151</v>
      </c>
      <c r="C4" s="5" t="s">
        <v>152</v>
      </c>
      <c r="D4" s="5" t="s">
        <v>153</v>
      </c>
      <c r="E4" s="43" t="s">
        <v>328</v>
      </c>
      <c r="F4" s="5"/>
    </row>
    <row r="5" spans="1:6" x14ac:dyDescent="0.35">
      <c r="A5" t="s">
        <v>201</v>
      </c>
      <c r="B5" s="23">
        <f>IF(Assumptions!$B$16="Worst",'Market — TopDown'!B13,IF(Assumptions!$B$16="Best",'Market — TopDown'!D13,'Market — TopDown'!C13))</f>
        <v>5789</v>
      </c>
      <c r="C5" s="23">
        <f>IF(Assumptions!$B$16="Worst",'Market — TopDown'!B14,IF(Assumptions!$B$16="Best",'Market — TopDown'!D14,'Market — TopDown'!C14))</f>
        <v>11143</v>
      </c>
      <c r="D5" s="23">
        <f>IF(Assumptions!$B$16="Worst",'Market — TopDown'!B15,IF(Assumptions!$B$16="Best",'Market — TopDown'!D15,'Market — TopDown'!C15))</f>
        <v>16098</v>
      </c>
      <c r="E5" s="22">
        <f>'Market — TopDown'!B29</f>
        <v>0</v>
      </c>
    </row>
    <row r="6" spans="1:6" x14ac:dyDescent="0.35">
      <c r="A6" t="s">
        <v>202</v>
      </c>
      <c r="B6" s="23">
        <f>B5</f>
        <v>5789</v>
      </c>
      <c r="C6" s="23">
        <f>C5-B5</f>
        <v>5354</v>
      </c>
      <c r="D6" s="23">
        <f>D5-C5</f>
        <v>4955</v>
      </c>
      <c r="E6" s="22">
        <f>E5-D5</f>
        <v>-16098</v>
      </c>
    </row>
    <row r="7" spans="1:6" x14ac:dyDescent="0.35">
      <c r="A7" t="s">
        <v>203</v>
      </c>
      <c r="B7" s="24">
        <f>'Client — Summary'!$B$69</f>
        <v>40692</v>
      </c>
      <c r="C7" s="24">
        <f>'Client — Summary'!$C$69</f>
        <v>50910</v>
      </c>
      <c r="D7" s="24">
        <f>'Client — Summary'!$D$69</f>
        <v>78600</v>
      </c>
      <c r="E7" s="44">
        <f>'Client — Summary'!E17</f>
        <v>94320</v>
      </c>
    </row>
    <row r="8" spans="1:6" ht="14.25" x14ac:dyDescent="0.45">
      <c r="A8" s="30" t="s">
        <v>204</v>
      </c>
      <c r="B8" s="27">
        <f>B5*B7</f>
        <v>235565988</v>
      </c>
      <c r="C8" s="27">
        <f>C5*C7</f>
        <v>567290130</v>
      </c>
      <c r="D8" s="27">
        <f>D5*D7</f>
        <v>1265302800</v>
      </c>
      <c r="E8" s="42">
        <f>E5*E7</f>
        <v>0</v>
      </c>
    </row>
    <row r="10" spans="1:6" ht="14.25" x14ac:dyDescent="0.45">
      <c r="A10" s="6" t="s">
        <v>205</v>
      </c>
      <c r="B10" s="7"/>
      <c r="C10" s="7"/>
      <c r="D10" s="7"/>
      <c r="E10" s="7"/>
    </row>
    <row r="11" spans="1:6" ht="15.75" x14ac:dyDescent="0.5">
      <c r="A11" s="5"/>
      <c r="B11" s="5" t="s">
        <v>206</v>
      </c>
      <c r="C11" s="5" t="s">
        <v>53</v>
      </c>
      <c r="D11" s="5" t="s">
        <v>207</v>
      </c>
      <c r="F11" s="5"/>
    </row>
    <row r="12" spans="1:6" x14ac:dyDescent="0.35">
      <c r="A12" t="s">
        <v>208</v>
      </c>
      <c r="B12" s="23">
        <f>'Market — TopDown'!B15</f>
        <v>282</v>
      </c>
      <c r="C12" s="23">
        <f>'Market — TopDown'!C15</f>
        <v>2810</v>
      </c>
      <c r="D12" s="23">
        <f>'Market — TopDown'!D15</f>
        <v>16098</v>
      </c>
    </row>
    <row r="13" spans="1:6" ht="14.25" x14ac:dyDescent="0.45">
      <c r="A13" s="30" t="s">
        <v>209</v>
      </c>
      <c r="B13" s="27">
        <f>B12*'Client — Summary'!E8</f>
        <v>22165200</v>
      </c>
      <c r="C13" s="27">
        <f>C12*'Client — Summary'!E8</f>
        <v>220866000</v>
      </c>
      <c r="D13" s="27">
        <f>D12*'Client — Summary'!E8</f>
        <v>1265302800</v>
      </c>
    </row>
    <row r="15" spans="1:6" x14ac:dyDescent="0.35">
      <c r="A15" s="38" t="s">
        <v>396</v>
      </c>
    </row>
    <row r="16" spans="1:6" x14ac:dyDescent="0.35">
      <c r="A16" t="s">
        <v>328</v>
      </c>
      <c r="B16" s="45" t="s">
        <v>206</v>
      </c>
      <c r="C16" s="45" t="s">
        <v>53</v>
      </c>
      <c r="D16" s="45" t="s">
        <v>207</v>
      </c>
    </row>
    <row r="17" spans="1:4" x14ac:dyDescent="0.35">
      <c r="A17" t="s">
        <v>330</v>
      </c>
      <c r="B17" s="22">
        <f>IF(Assumptions!$B$16="Worst",'Market — TopDown'!B26,IF(Assumptions!$B$16="Best",'Market — TopDown'!D26,'Market — TopDown'!C26))</f>
        <v>32196</v>
      </c>
      <c r="C17" s="22">
        <f>'Market — TopDown'!C26</f>
        <v>5620</v>
      </c>
      <c r="D17" s="22">
        <f>'Market — TopDown'!D26</f>
        <v>32196</v>
      </c>
    </row>
    <row r="18" spans="1:4" x14ac:dyDescent="0.35">
      <c r="A18" s="37" t="s">
        <v>331</v>
      </c>
      <c r="B18" s="42">
        <f>B17*'Client — Summary'!E17</f>
        <v>3036726720</v>
      </c>
      <c r="C18" s="42">
        <f>C17*'Client — Summary'!E17</f>
        <v>530078400</v>
      </c>
      <c r="D18" s="42">
        <f>D17*'Client — Summary'!E17</f>
        <v>3036726720</v>
      </c>
    </row>
    <row r="19" spans="1:4" x14ac:dyDescent="0.35">
      <c r="A19" s="46" t="s">
        <v>397</v>
      </c>
      <c r="D19" s="47">
        <f>300000000-D18</f>
        <v>-2736726720</v>
      </c>
    </row>
    <row r="21" spans="1:4" x14ac:dyDescent="0.35">
      <c r="A21" s="38" t="s">
        <v>398</v>
      </c>
    </row>
    <row r="22" spans="1:4" x14ac:dyDescent="0.35">
      <c r="A22" t="s">
        <v>399</v>
      </c>
      <c r="B22" s="22">
        <f>'Market — TopDown'!B34</f>
        <v>6361</v>
      </c>
    </row>
    <row r="23" spans="1:4" x14ac:dyDescent="0.35">
      <c r="A23" s="37" t="s">
        <v>400</v>
      </c>
      <c r="B23" s="42">
        <f>B22*'Client — Summary'!E17</f>
        <v>599969520</v>
      </c>
    </row>
    <row r="24" spans="1:4" x14ac:dyDescent="0.35">
      <c r="A24" s="46" t="s">
        <v>401</v>
      </c>
      <c r="B24" s="47">
        <f>600000000-B23</f>
        <v>30480</v>
      </c>
    </row>
    <row r="26" spans="1:4" x14ac:dyDescent="0.35">
      <c r="A26" s="38" t="s">
        <v>402</v>
      </c>
    </row>
    <row r="27" spans="1:4" x14ac:dyDescent="0.35">
      <c r="A27" t="s">
        <v>403</v>
      </c>
      <c r="B27" s="22">
        <f>'Market — TopDown'!B35</f>
        <v>12723</v>
      </c>
    </row>
    <row r="28" spans="1:4" x14ac:dyDescent="0.35">
      <c r="A28" s="37" t="s">
        <v>404</v>
      </c>
      <c r="B28" s="42">
        <f>B27*'Client — Summary'!E17</f>
        <v>1200033360</v>
      </c>
    </row>
    <row r="29" spans="1:4" x14ac:dyDescent="0.35">
      <c r="A29" s="46" t="s">
        <v>405</v>
      </c>
      <c r="B29" s="47">
        <f>1200000000-B28</f>
        <v>-33360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workbookViewId="0">
      <pane ySplit="4" topLeftCell="A5" activePane="bottomLeft" state="frozen"/>
      <selection pane="bottomLeft"/>
    </sheetView>
  </sheetViews>
  <sheetFormatPr defaultRowHeight="13.5" x14ac:dyDescent="0.35"/>
  <cols>
    <col min="1" max="1" width="42" customWidth="1"/>
    <col min="2" max="4" width="18" customWidth="1"/>
    <col min="5" max="5" width="55" customWidth="1"/>
  </cols>
  <sheetData>
    <row r="1" spans="1:5" ht="18" x14ac:dyDescent="0.55000000000000004">
      <c r="A1" s="4" t="s">
        <v>210</v>
      </c>
    </row>
    <row r="2" spans="1:5" x14ac:dyDescent="0.35">
      <c r="A2" s="3" t="s">
        <v>211</v>
      </c>
    </row>
    <row r="4" spans="1:5" ht="15.75" x14ac:dyDescent="0.5">
      <c r="A4" s="5" t="s">
        <v>24</v>
      </c>
      <c r="B4" s="5" t="s">
        <v>151</v>
      </c>
      <c r="C4" s="5" t="s">
        <v>152</v>
      </c>
      <c r="D4" s="5" t="s">
        <v>153</v>
      </c>
      <c r="E4" s="43" t="s">
        <v>332</v>
      </c>
    </row>
    <row r="5" spans="1:5" x14ac:dyDescent="0.35">
      <c r="A5" t="s">
        <v>212</v>
      </c>
      <c r="B5" s="24">
        <f>Assumptions!$B$63*Assumptions!$B$64*12</f>
        <v>2880000</v>
      </c>
      <c r="C5" s="24">
        <f>Assumptions!$B$63*Assumptions!$B$64*12</f>
        <v>2880000</v>
      </c>
      <c r="D5" s="24">
        <f>Assumptions!$B$63*Assumptions!$B$64*12</f>
        <v>2880000</v>
      </c>
      <c r="E5" s="48">
        <f>Assumptions!$B$79*Assumptions!$B$64*12</f>
        <v>4320000</v>
      </c>
    </row>
    <row r="6" spans="1:5" x14ac:dyDescent="0.35">
      <c r="A6" t="s">
        <v>213</v>
      </c>
      <c r="B6" s="24">
        <f>Assumptions!$B$65*12</f>
        <v>96000</v>
      </c>
      <c r="C6" s="24">
        <f>Assumptions!$B$65*12</f>
        <v>96000</v>
      </c>
      <c r="D6" s="24">
        <f>Assumptions!$B$65*12</f>
        <v>96000</v>
      </c>
      <c r="E6" s="48">
        <f>Assumptions!$B$65*12</f>
        <v>96000</v>
      </c>
    </row>
    <row r="7" spans="1:5" x14ac:dyDescent="0.35">
      <c r="A7" t="s">
        <v>214</v>
      </c>
      <c r="B7" s="24">
        <f>Assumptions!$B$69*12</f>
        <v>120000</v>
      </c>
      <c r="C7" s="24">
        <f>Assumptions!$B$69*12</f>
        <v>120000</v>
      </c>
      <c r="D7" s="24">
        <f>Assumptions!$B$69*12</f>
        <v>120000</v>
      </c>
      <c r="E7" s="48">
        <f>Assumptions!$B$69*12</f>
        <v>120000</v>
      </c>
    </row>
    <row r="8" spans="1:5" x14ac:dyDescent="0.35">
      <c r="A8" t="s">
        <v>215</v>
      </c>
      <c r="B8" s="24">
        <f>'Business Model — Revenue'!B5*Assumptions!$B$67*Assumptions!$B$66</f>
        <v>4341750</v>
      </c>
      <c r="C8" s="24">
        <f>'Business Model — Revenue'!C5*Assumptions!$B$67*Assumptions!$B$66</f>
        <v>8357250</v>
      </c>
      <c r="D8" s="24">
        <f>'Business Model — Revenue'!D5*Assumptions!$B$67*Assumptions!$B$66</f>
        <v>12073500</v>
      </c>
      <c r="E8" s="48">
        <f>'Business Model — Revenue'!D17*Assumptions!$B$67*Assumptions!$B$66</f>
        <v>24147000</v>
      </c>
    </row>
    <row r="9" spans="1:5" x14ac:dyDescent="0.35">
      <c r="A9" t="s">
        <v>216</v>
      </c>
      <c r="B9" s="24">
        <f>'Business Model — Revenue'!B6*Assumptions!$B$68</f>
        <v>17367000</v>
      </c>
      <c r="C9" s="24">
        <f>'Business Model — Revenue'!C6*Assumptions!$B$68</f>
        <v>16062000</v>
      </c>
      <c r="D9" s="24">
        <f>'Business Model — Revenue'!D6*Assumptions!$B$68</f>
        <v>14865000</v>
      </c>
      <c r="E9" s="48">
        <f>('Business Model — Revenue'!D17-'Business Model — Revenue'!D12)*Assumptions!$B$68</f>
        <v>48294000</v>
      </c>
    </row>
    <row r="11" spans="1:5" ht="14.25" x14ac:dyDescent="0.45">
      <c r="A11" s="30" t="s">
        <v>217</v>
      </c>
      <c r="B11" s="27">
        <f>B5+B6+B7+B8+B9</f>
        <v>24804750</v>
      </c>
      <c r="C11" s="27">
        <f>C5+C6+C7+C8+C9</f>
        <v>27515250</v>
      </c>
      <c r="D11" s="27">
        <f>D5+D6+D7+D8+D9</f>
        <v>30034500</v>
      </c>
      <c r="E11" s="42">
        <f>E5+E6+E7+E8+E9</f>
        <v>76977000</v>
      </c>
    </row>
    <row r="13" spans="1:5" x14ac:dyDescent="0.35">
      <c r="A13" s="38" t="s">
        <v>410</v>
      </c>
    </row>
    <row r="14" spans="1:5" x14ac:dyDescent="0.35">
      <c r="A14" t="s">
        <v>24</v>
      </c>
      <c r="B14" s="45" t="s">
        <v>394</v>
      </c>
      <c r="C14" s="45" t="s">
        <v>395</v>
      </c>
    </row>
    <row r="15" spans="1:5" x14ac:dyDescent="0.35">
      <c r="A15" t="s">
        <v>212</v>
      </c>
      <c r="B15" s="44">
        <f>Assumptions!$B$84*Assumptions!$B$64*12</f>
        <v>7200000</v>
      </c>
      <c r="C15" s="44">
        <f>Assumptions!$B$85*Assumptions!$B$64*12</f>
        <v>12600000</v>
      </c>
    </row>
    <row r="16" spans="1:5" x14ac:dyDescent="0.35">
      <c r="A16" t="s">
        <v>213</v>
      </c>
      <c r="B16" s="44">
        <f>Assumptions!$B$65*12</f>
        <v>96000</v>
      </c>
      <c r="C16" s="44">
        <f>Assumptions!$B$65*12</f>
        <v>96000</v>
      </c>
    </row>
    <row r="17" spans="1:3" x14ac:dyDescent="0.35">
      <c r="A17" t="s">
        <v>214</v>
      </c>
      <c r="B17" s="44">
        <f>Assumptions!$B$69*12</f>
        <v>120000</v>
      </c>
      <c r="C17" s="44">
        <f>Assumptions!$B$69*12</f>
        <v>120000</v>
      </c>
    </row>
    <row r="18" spans="1:3" x14ac:dyDescent="0.35">
      <c r="A18" t="s">
        <v>215</v>
      </c>
      <c r="B18" s="44">
        <f>'Business Model — Revenue'!B22*Assumptions!$B$67*Assumptions!$B$66</f>
        <v>4770750</v>
      </c>
      <c r="C18" s="44">
        <f>'Business Model — Revenue'!B27*Assumptions!$B$67*Assumptions!$B$66</f>
        <v>9542250</v>
      </c>
    </row>
    <row r="19" spans="1:3" x14ac:dyDescent="0.35">
      <c r="A19" t="s">
        <v>216</v>
      </c>
      <c r="B19" s="44">
        <f>('Business Model — Revenue'!B22-'Market — TopDown'!D26)*Assumptions!$B$68</f>
        <v>-77505000</v>
      </c>
      <c r="C19" s="44">
        <f>('Business Model — Revenue'!B27-'Market — TopDown'!B34)*Assumptions!$B$68</f>
        <v>19086000</v>
      </c>
    </row>
    <row r="20" spans="1:3" x14ac:dyDescent="0.35">
      <c r="A20" s="37" t="s">
        <v>217</v>
      </c>
      <c r="B20" s="42">
        <f>SUM(B15:B19)</f>
        <v>-65318250</v>
      </c>
      <c r="C20" s="42">
        <f>SUM(C15:C19)</f>
        <v>41444250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1"/>
  <sheetViews>
    <sheetView workbookViewId="0">
      <pane ySplit="4" topLeftCell="A5" activePane="bottomLeft" state="frozen"/>
      <selection pane="bottomLeft" activeCell="B14" sqref="B14"/>
    </sheetView>
  </sheetViews>
  <sheetFormatPr defaultRowHeight="13.5" x14ac:dyDescent="0.35"/>
  <cols>
    <col min="1" max="1" width="42" customWidth="1"/>
    <col min="2" max="4" width="20" customWidth="1"/>
    <col min="5" max="5" width="50" customWidth="1"/>
  </cols>
  <sheetData>
    <row r="1" spans="1:5" ht="18" x14ac:dyDescent="0.55000000000000004">
      <c r="A1" s="4" t="s">
        <v>218</v>
      </c>
    </row>
    <row r="2" spans="1:5" x14ac:dyDescent="0.35">
      <c r="A2" s="3" t="s">
        <v>219</v>
      </c>
    </row>
    <row r="4" spans="1:5" ht="15.75" x14ac:dyDescent="0.5">
      <c r="A4" s="5" t="s">
        <v>24</v>
      </c>
      <c r="B4" s="5" t="s">
        <v>151</v>
      </c>
      <c r="C4" s="5" t="s">
        <v>152</v>
      </c>
      <c r="D4" s="5" t="s">
        <v>153</v>
      </c>
      <c r="E4" s="5"/>
    </row>
    <row r="5" spans="1:5" x14ac:dyDescent="0.35">
      <c r="A5" t="s">
        <v>220</v>
      </c>
      <c r="B5" s="24">
        <f>'Business Model — Revenue'!B8</f>
        <v>235565988</v>
      </c>
      <c r="C5" s="24">
        <f>'Business Model — Revenue'!C8</f>
        <v>567290130</v>
      </c>
      <c r="D5" s="24">
        <f>'Business Model — Revenue'!D8</f>
        <v>1265302800</v>
      </c>
    </row>
    <row r="6" spans="1:5" x14ac:dyDescent="0.35">
      <c r="A6" t="s">
        <v>221</v>
      </c>
      <c r="B6" s="24">
        <f>'Business Model — Cost'!B11</f>
        <v>24804750</v>
      </c>
      <c r="C6" s="24">
        <f>'Business Model — Cost'!C11</f>
        <v>27515250</v>
      </c>
      <c r="D6" s="24">
        <f>'Business Model — Cost'!D11</f>
        <v>30034500</v>
      </c>
    </row>
    <row r="7" spans="1:5" ht="14.25" x14ac:dyDescent="0.45">
      <c r="A7" s="30" t="s">
        <v>222</v>
      </c>
      <c r="B7" s="27">
        <f>B5-B6</f>
        <v>210761238</v>
      </c>
      <c r="C7" s="27">
        <f>C5-C6</f>
        <v>539774880</v>
      </c>
      <c r="D7" s="27">
        <f>D5-D6</f>
        <v>1235268300</v>
      </c>
    </row>
    <row r="8" spans="1:5" x14ac:dyDescent="0.35">
      <c r="A8" t="s">
        <v>223</v>
      </c>
      <c r="B8" s="29">
        <f>IF(B5=0,0,B7/B5)</f>
        <v>0.89470147957013213</v>
      </c>
      <c r="C8" s="29">
        <f>IF(C5=0,0,C7/C5)</f>
        <v>0.95149704085279962</v>
      </c>
      <c r="D8" s="29">
        <f>IF(D5=0,0,D7/D5)</f>
        <v>0.97626299412282969</v>
      </c>
    </row>
    <row r="10" spans="1:5" ht="14.25" x14ac:dyDescent="0.45">
      <c r="A10" s="6" t="s">
        <v>224</v>
      </c>
      <c r="B10" s="7"/>
      <c r="C10" s="7"/>
      <c r="D10" s="7"/>
      <c r="E10" s="7"/>
    </row>
    <row r="11" spans="1:5" ht="15.75" x14ac:dyDescent="0.5">
      <c r="A11" s="5"/>
      <c r="B11" s="5" t="s">
        <v>206</v>
      </c>
      <c r="C11" s="5" t="s">
        <v>53</v>
      </c>
      <c r="D11" s="5" t="s">
        <v>207</v>
      </c>
      <c r="E11" s="5"/>
    </row>
    <row r="12" spans="1:5" x14ac:dyDescent="0.35">
      <c r="A12" t="s">
        <v>209</v>
      </c>
      <c r="B12" s="24">
        <f>'Business Model — Revenue'!B13</f>
        <v>22165200</v>
      </c>
      <c r="C12" s="24">
        <f>'Business Model — Revenue'!C13</f>
        <v>220866000</v>
      </c>
      <c r="D12" s="24">
        <f>'Business Model — Revenue'!D13</f>
        <v>1265302800</v>
      </c>
    </row>
    <row r="13" spans="1:5" x14ac:dyDescent="0.35">
      <c r="A13" t="s">
        <v>225</v>
      </c>
      <c r="B13" s="24">
        <f>'Business Model — Cost'!D5+'Business Model — Cost'!D6+'Business Model — Cost'!D7+'Market — TopDown'!B15*Assumptions!$B$67*Assumptions!$B$66+('Market — TopDown'!B15-'Market — TopDown'!B14)*Assumptions!$B$68</f>
        <v>3514500</v>
      </c>
      <c r="C13" s="24">
        <f>'Business Model — Cost'!D5+'Business Model — Cost'!D6+'Business Model — Cost'!D7+'Market — TopDown'!C15*Assumptions!$B$67*Assumptions!$B$66+('Market — TopDown'!C15-'Market — TopDown'!C14)*Assumptions!$B$68</f>
        <v>7588500</v>
      </c>
      <c r="D13" s="24">
        <f>'Business Model — Cost'!D5+'Business Model — Cost'!D6+'Business Model — Cost'!D7+'Market — TopDown'!D15*Assumptions!$B$67*Assumptions!$B$66+('Market — TopDown'!D15-'Market — TopDown'!D14)*Assumptions!$B$68</f>
        <v>30034500</v>
      </c>
    </row>
    <row r="14" spans="1:5" ht="14.25" x14ac:dyDescent="0.45">
      <c r="A14" s="30" t="s">
        <v>226</v>
      </c>
      <c r="B14" s="27">
        <f>B12-B13</f>
        <v>18650700</v>
      </c>
      <c r="C14" s="27">
        <f>C12-C13</f>
        <v>213277500</v>
      </c>
      <c r="D14" s="27">
        <f>D12-D13</f>
        <v>1235268300</v>
      </c>
    </row>
    <row r="15" spans="1:5" x14ac:dyDescent="0.35">
      <c r="A15" t="s">
        <v>227</v>
      </c>
      <c r="B15" s="29">
        <f>IF(B12=0,0,(B12-B13)/B12)</f>
        <v>0.84144063667370472</v>
      </c>
      <c r="C15" s="29">
        <f>IF(C12=0,0,(C12-C13)/C12)</f>
        <v>0.96564206351362369</v>
      </c>
      <c r="D15" s="29">
        <f>IF(D12=0,0,(D12-D13)/D12)</f>
        <v>0.97626299412282969</v>
      </c>
    </row>
    <row r="17" spans="1:3" x14ac:dyDescent="0.35">
      <c r="A17" s="3" t="s">
        <v>228</v>
      </c>
    </row>
    <row r="20" spans="1:3" x14ac:dyDescent="0.35">
      <c r="A20" s="38" t="s">
        <v>333</v>
      </c>
    </row>
    <row r="21" spans="1:3" x14ac:dyDescent="0.35">
      <c r="A21" t="s">
        <v>334</v>
      </c>
      <c r="B21" s="44">
        <f>'Business Model — Revenue'!D18</f>
        <v>3036726720</v>
      </c>
    </row>
    <row r="22" spans="1:3" x14ac:dyDescent="0.35">
      <c r="A22" t="s">
        <v>335</v>
      </c>
      <c r="B22" s="44">
        <f>'Business Model — Cost'!E11</f>
        <v>76977000</v>
      </c>
    </row>
    <row r="23" spans="1:3" x14ac:dyDescent="0.35">
      <c r="A23" s="37" t="s">
        <v>336</v>
      </c>
      <c r="B23" s="42">
        <f>B21-B22</f>
        <v>2959749720</v>
      </c>
    </row>
    <row r="24" spans="1:3" x14ac:dyDescent="0.35">
      <c r="A24" t="s">
        <v>337</v>
      </c>
      <c r="B24" s="49">
        <f>IF(B21=0,0,B23/B21)</f>
        <v>0.97465132456831682</v>
      </c>
    </row>
    <row r="26" spans="1:3" x14ac:dyDescent="0.35">
      <c r="A26" s="38" t="s">
        <v>411</v>
      </c>
    </row>
    <row r="27" spans="1:3" x14ac:dyDescent="0.35">
      <c r="A27" t="s">
        <v>24</v>
      </c>
      <c r="B27" s="45" t="s">
        <v>394</v>
      </c>
      <c r="C27" s="45" t="s">
        <v>395</v>
      </c>
    </row>
    <row r="28" spans="1:3" x14ac:dyDescent="0.35">
      <c r="A28" t="s">
        <v>412</v>
      </c>
      <c r="B28" s="44">
        <f>'Business Model — Revenue'!B23</f>
        <v>599969520</v>
      </c>
      <c r="C28" s="44">
        <f>'Business Model — Revenue'!B28</f>
        <v>1200033360</v>
      </c>
    </row>
    <row r="29" spans="1:3" x14ac:dyDescent="0.35">
      <c r="A29" t="s">
        <v>221</v>
      </c>
      <c r="B29" s="44">
        <f>'Business Model — Cost'!B20</f>
        <v>-65318250</v>
      </c>
      <c r="C29" s="44">
        <f>'Business Model — Cost'!C20</f>
        <v>41444250</v>
      </c>
    </row>
    <row r="30" spans="1:3" x14ac:dyDescent="0.35">
      <c r="A30" s="37" t="s">
        <v>413</v>
      </c>
      <c r="B30" s="42">
        <f>B28-B29</f>
        <v>665287770</v>
      </c>
      <c r="C30" s="42">
        <f>C28-C29</f>
        <v>1158589110</v>
      </c>
    </row>
    <row r="31" spans="1:3" x14ac:dyDescent="0.35">
      <c r="A31" t="s">
        <v>223</v>
      </c>
      <c r="B31" s="49">
        <f>IF(B28=0,0,B30/B28)</f>
        <v>1.1088692805594524</v>
      </c>
      <c r="C31" s="49">
        <f>IF(C28=0,0,C30/C28)</f>
        <v>0.96546408509843429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AAAD-BF52-4A0A-B26B-7FCE16A26451}">
  <dimension ref="A1:E33"/>
  <sheetViews>
    <sheetView showGridLines="0" workbookViewId="0">
      <pane ySplit="4" topLeftCell="A5" activePane="bottomLeft" state="frozen"/>
      <selection pane="bottomLeft"/>
    </sheetView>
  </sheetViews>
  <sheetFormatPr defaultRowHeight="13.5" x14ac:dyDescent="0.35"/>
  <cols>
    <col min="1" max="1" width="56.6875" customWidth="1"/>
    <col min="2" max="4" width="20" customWidth="1"/>
    <col min="5" max="5" width="70" customWidth="1"/>
  </cols>
  <sheetData>
    <row r="1" spans="1:5" ht="18" x14ac:dyDescent="0.55000000000000004">
      <c r="A1" s="4" t="s">
        <v>556</v>
      </c>
    </row>
    <row r="2" spans="1:5" x14ac:dyDescent="0.35">
      <c r="A2" t="s">
        <v>557</v>
      </c>
    </row>
    <row r="4" spans="1:5" ht="15" x14ac:dyDescent="0.4">
      <c r="A4" s="67" t="s">
        <v>558</v>
      </c>
      <c r="B4" s="68"/>
      <c r="C4" s="68"/>
      <c r="D4" s="68"/>
      <c r="E4" s="68"/>
    </row>
    <row r="5" spans="1:5" x14ac:dyDescent="0.35">
      <c r="A5" s="38" t="s">
        <v>24</v>
      </c>
      <c r="B5" s="71" t="s">
        <v>188</v>
      </c>
      <c r="C5" s="71" t="s">
        <v>189</v>
      </c>
      <c r="D5" s="71" t="s">
        <v>190</v>
      </c>
      <c r="E5" s="71" t="s">
        <v>478</v>
      </c>
    </row>
    <row r="6" spans="1:5" x14ac:dyDescent="0.35">
      <c r="A6" t="s">
        <v>559</v>
      </c>
      <c r="B6" s="22">
        <f>'Client — Small'!$B$18-'Client — Small'!$B$20</f>
        <v>143.71499999999992</v>
      </c>
      <c r="C6" s="22">
        <f>'Client — Medium'!$B$18-'Client — Medium'!$B$20</f>
        <v>718.57499999999982</v>
      </c>
      <c r="D6" s="22">
        <f>'Client — Large'!$B$18-'Client — Large'!$B$20</f>
        <v>1916.2000000000007</v>
      </c>
      <c r="E6" t="s">
        <v>560</v>
      </c>
    </row>
    <row r="7" spans="1:5" x14ac:dyDescent="0.35">
      <c r="A7" s="37" t="s">
        <v>561</v>
      </c>
      <c r="B7" s="91">
        <f>B6*Assumptions!$B$105</f>
        <v>285.99284999999986</v>
      </c>
      <c r="C7" s="91">
        <f>C6*Assumptions!$B$105</f>
        <v>1429.9642499999995</v>
      </c>
      <c r="D7" s="91">
        <f>D6*Assumptions!$B$105</f>
        <v>3813.2380000000016</v>
      </c>
    </row>
    <row r="8" spans="1:5" x14ac:dyDescent="0.35">
      <c r="A8" t="s">
        <v>562</v>
      </c>
      <c r="B8" s="73">
        <f>Assumptions!$B$43</f>
        <v>1.5</v>
      </c>
      <c r="C8" s="73">
        <f>Assumptions!$B$48</f>
        <v>2</v>
      </c>
      <c r="D8" s="73">
        <f>Assumptions!$B$53</f>
        <v>1.5</v>
      </c>
    </row>
    <row r="9" spans="1:5" x14ac:dyDescent="0.35">
      <c r="A9" s="74" t="s">
        <v>563</v>
      </c>
      <c r="B9" s="92">
        <f>B7*B8</f>
        <v>428.98927499999979</v>
      </c>
      <c r="C9" s="92">
        <f>C7*C8</f>
        <v>2859.9284999999991</v>
      </c>
      <c r="D9" s="92">
        <f>D7*D8</f>
        <v>5719.8570000000027</v>
      </c>
    </row>
    <row r="11" spans="1:5" ht="15" x14ac:dyDescent="0.4">
      <c r="A11" s="67" t="s">
        <v>564</v>
      </c>
      <c r="B11" s="68"/>
      <c r="C11" s="68"/>
      <c r="D11" s="68"/>
      <c r="E11" s="68"/>
    </row>
    <row r="12" spans="1:5" x14ac:dyDescent="0.35">
      <c r="A12" s="38" t="s">
        <v>24</v>
      </c>
      <c r="B12" s="71" t="s">
        <v>188</v>
      </c>
      <c r="C12" s="71" t="s">
        <v>189</v>
      </c>
      <c r="D12" s="71" t="s">
        <v>190</v>
      </c>
      <c r="E12" s="71" t="s">
        <v>478</v>
      </c>
    </row>
    <row r="13" spans="1:5" x14ac:dyDescent="0.35">
      <c r="A13" t="s">
        <v>565</v>
      </c>
      <c r="B13" s="93">
        <f>'Client — Small'!$B$6*Assumptions!$B$111</f>
        <v>105</v>
      </c>
      <c r="C13" s="93">
        <f>'Client — Medium'!$B$6*Assumptions!$B$111</f>
        <v>525</v>
      </c>
      <c r="D13" s="93">
        <f>'Client — Large'!$B$6*Assumptions!$B$111</f>
        <v>1400</v>
      </c>
      <c r="E13" t="s">
        <v>566</v>
      </c>
    </row>
    <row r="14" spans="1:5" x14ac:dyDescent="0.35">
      <c r="A14" t="s">
        <v>567</v>
      </c>
      <c r="B14" s="94">
        <f>B13*Assumptions!$B$107</f>
        <v>252000</v>
      </c>
      <c r="C14" s="94">
        <f>C13*Assumptions!$B$107</f>
        <v>1260000</v>
      </c>
      <c r="D14" s="94">
        <f>D13*Assumptions!$B$107</f>
        <v>3360000</v>
      </c>
    </row>
    <row r="15" spans="1:5" x14ac:dyDescent="0.35">
      <c r="A15" t="s">
        <v>568</v>
      </c>
      <c r="B15" s="95">
        <f>Assumptions!$B$109</f>
        <v>0.2</v>
      </c>
      <c r="C15" s="95">
        <f>Assumptions!$B$109</f>
        <v>0.2</v>
      </c>
      <c r="D15" s="95">
        <f>Assumptions!$B$109</f>
        <v>0.2</v>
      </c>
    </row>
    <row r="16" spans="1:5" x14ac:dyDescent="0.35">
      <c r="A16" t="s">
        <v>569</v>
      </c>
      <c r="B16" s="96">
        <f>Assumptions!$B$106</f>
        <v>0.11</v>
      </c>
      <c r="C16" s="96">
        <f>Assumptions!$B$106</f>
        <v>0.11</v>
      </c>
      <c r="D16" s="96">
        <f>Assumptions!$B$106</f>
        <v>0.11</v>
      </c>
    </row>
    <row r="17" spans="1:5" x14ac:dyDescent="0.35">
      <c r="A17" t="s">
        <v>570</v>
      </c>
      <c r="B17" s="95">
        <f>Assumptions!$B$110</f>
        <v>0.2</v>
      </c>
      <c r="C17" s="95">
        <f>Assumptions!$B$110</f>
        <v>0.2</v>
      </c>
      <c r="D17" s="95">
        <f>Assumptions!$B$110</f>
        <v>0.2</v>
      </c>
    </row>
    <row r="18" spans="1:5" x14ac:dyDescent="0.35">
      <c r="A18" s="37" t="s">
        <v>571</v>
      </c>
      <c r="B18" s="91">
        <f>B14*B15*B16*B17</f>
        <v>1108.8</v>
      </c>
      <c r="C18" s="91">
        <f>C14*C15*C16*C17</f>
        <v>5544</v>
      </c>
      <c r="D18" s="91">
        <f>D14*D15*D16*D17</f>
        <v>14784</v>
      </c>
    </row>
    <row r="19" spans="1:5" x14ac:dyDescent="0.35">
      <c r="A19" s="74" t="s">
        <v>563</v>
      </c>
      <c r="B19" s="92">
        <f>B18*B8</f>
        <v>1663.1999999999998</v>
      </c>
      <c r="C19" s="92">
        <f>C18*C8</f>
        <v>11088</v>
      </c>
      <c r="D19" s="92">
        <f>D18*D8</f>
        <v>22176</v>
      </c>
    </row>
    <row r="21" spans="1:5" ht="15" x14ac:dyDescent="0.4">
      <c r="A21" s="67" t="s">
        <v>572</v>
      </c>
      <c r="B21" s="68"/>
      <c r="C21" s="68"/>
      <c r="D21" s="68"/>
      <c r="E21" s="68"/>
    </row>
    <row r="22" spans="1:5" x14ac:dyDescent="0.35">
      <c r="A22" s="38" t="s">
        <v>24</v>
      </c>
      <c r="B22" s="71" t="s">
        <v>188</v>
      </c>
      <c r="C22" s="71" t="s">
        <v>189</v>
      </c>
      <c r="D22" s="71" t="s">
        <v>190</v>
      </c>
      <c r="E22" s="71" t="s">
        <v>478</v>
      </c>
    </row>
    <row r="23" spans="1:5" x14ac:dyDescent="0.35">
      <c r="A23" t="s">
        <v>573</v>
      </c>
      <c r="B23" s="94">
        <f>'Client — Small'!$B$18*Assumptions!$B$114</f>
        <v>43.1145</v>
      </c>
      <c r="C23" s="94">
        <f>'Client — Medium'!$B$18*Assumptions!$B$114</f>
        <v>215.57249999999999</v>
      </c>
      <c r="D23" s="94">
        <f>'Client — Large'!$B$18*Assumptions!$B$114</f>
        <v>574.86</v>
      </c>
      <c r="E23" t="s">
        <v>574</v>
      </c>
    </row>
    <row r="24" spans="1:5" x14ac:dyDescent="0.35">
      <c r="A24" s="37" t="s">
        <v>575</v>
      </c>
      <c r="B24" s="91">
        <f>B23*Assumptions!$B$105</f>
        <v>85.797854999999998</v>
      </c>
      <c r="C24" s="91">
        <f>C23*Assumptions!$B$105</f>
        <v>428.98927499999996</v>
      </c>
      <c r="D24" s="91">
        <f>D23*Assumptions!$B$105</f>
        <v>1143.9714000000001</v>
      </c>
    </row>
    <row r="25" spans="1:5" x14ac:dyDescent="0.35">
      <c r="A25" s="74" t="s">
        <v>563</v>
      </c>
      <c r="B25" s="92">
        <f>B24*B8</f>
        <v>128.69678249999998</v>
      </c>
      <c r="C25" s="92">
        <f>C24*C8</f>
        <v>857.97854999999993</v>
      </c>
      <c r="D25" s="92">
        <f>D24*D8</f>
        <v>1715.9571000000001</v>
      </c>
      <c r="E25" t="s">
        <v>576</v>
      </c>
    </row>
    <row r="27" spans="1:5" ht="15" x14ac:dyDescent="0.4">
      <c r="A27" s="67" t="s">
        <v>577</v>
      </c>
      <c r="B27" s="68"/>
      <c r="C27" s="68"/>
      <c r="D27" s="68"/>
      <c r="E27" s="68"/>
    </row>
    <row r="28" spans="1:5" x14ac:dyDescent="0.35">
      <c r="A28" s="38" t="s">
        <v>24</v>
      </c>
      <c r="B28" s="71" t="s">
        <v>206</v>
      </c>
      <c r="C28" s="82" t="s">
        <v>53</v>
      </c>
      <c r="D28" s="71" t="s">
        <v>207</v>
      </c>
    </row>
    <row r="29" spans="1:5" x14ac:dyDescent="0.35">
      <c r="A29" t="s">
        <v>505</v>
      </c>
      <c r="B29" s="22">
        <f>'Market — TopDown'!B15</f>
        <v>282</v>
      </c>
      <c r="C29" s="22">
        <f>'Market — TopDown'!C15</f>
        <v>2810</v>
      </c>
      <c r="D29" s="22">
        <f>'Market — TopDown'!D15</f>
        <v>16098</v>
      </c>
    </row>
    <row r="30" spans="1:5" x14ac:dyDescent="0.35">
      <c r="A30" t="s">
        <v>578</v>
      </c>
      <c r="B30" s="97">
        <f>Assumptions!$B$59*(B9+B19+B25)+Assumptions!$B$60*(C9+C19+C25)+Assumptions!$B$61*(D9+D19+D25)</f>
        <v>9475.7805120000012</v>
      </c>
      <c r="C30" s="97">
        <f>B30</f>
        <v>9475.7805120000012</v>
      </c>
      <c r="D30" s="97">
        <f>B30</f>
        <v>9475.7805120000012</v>
      </c>
    </row>
    <row r="31" spans="1:5" x14ac:dyDescent="0.35">
      <c r="A31" s="74" t="s">
        <v>579</v>
      </c>
      <c r="B31" s="92">
        <f>B29*B30</f>
        <v>2672170.1043840004</v>
      </c>
      <c r="C31" s="92">
        <f>C29*C30</f>
        <v>26626943.238720004</v>
      </c>
      <c r="D31" s="92">
        <f>D29*D30</f>
        <v>152541114.68217602</v>
      </c>
    </row>
    <row r="32" spans="1:5" x14ac:dyDescent="0.35">
      <c r="A32" s="74" t="s">
        <v>580</v>
      </c>
      <c r="B32" s="98">
        <f>B31/1000</f>
        <v>2672.1701043840003</v>
      </c>
      <c r="C32" s="98">
        <f>C31/1000</f>
        <v>26626.943238720003</v>
      </c>
      <c r="D32" s="98">
        <f>D31/1000</f>
        <v>152541.11468217603</v>
      </c>
    </row>
    <row r="33" spans="1:5" x14ac:dyDescent="0.35">
      <c r="A33" t="s">
        <v>581</v>
      </c>
      <c r="B33" s="99">
        <f>B31/21</f>
        <v>127246.19544685716</v>
      </c>
      <c r="C33" s="99">
        <f>C31/21</f>
        <v>1267949.6780342858</v>
      </c>
      <c r="D33" s="99">
        <f>D31/21</f>
        <v>7263862.6039131442</v>
      </c>
      <c r="E33" t="s">
        <v>582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zoomScale="85" zoomScaleNormal="85" workbookViewId="0">
      <pane ySplit="4" topLeftCell="A5" activePane="bottomLeft" state="frozen"/>
      <selection pane="bottomLeft" activeCell="B20" sqref="B20"/>
    </sheetView>
  </sheetViews>
  <sheetFormatPr defaultRowHeight="13.5" x14ac:dyDescent="0.35"/>
  <cols>
    <col min="1" max="1" width="46" customWidth="1"/>
    <col min="2" max="4" width="20" customWidth="1"/>
    <col min="5" max="5" width="55" customWidth="1"/>
  </cols>
  <sheetData>
    <row r="1" spans="1:5" ht="18" x14ac:dyDescent="0.55000000000000004">
      <c r="A1" s="4" t="s">
        <v>267</v>
      </c>
    </row>
    <row r="2" spans="1:5" x14ac:dyDescent="0.35">
      <c r="A2" s="3" t="s">
        <v>268</v>
      </c>
    </row>
    <row r="4" spans="1:5" ht="15.75" x14ac:dyDescent="0.5">
      <c r="A4" s="5" t="s">
        <v>24</v>
      </c>
      <c r="B4" s="5" t="s">
        <v>151</v>
      </c>
      <c r="C4" s="5" t="s">
        <v>152</v>
      </c>
      <c r="D4" s="5" t="s">
        <v>153</v>
      </c>
      <c r="E4" s="5"/>
    </row>
    <row r="5" spans="1:5" x14ac:dyDescent="0.35">
      <c r="A5" t="s">
        <v>220</v>
      </c>
      <c r="B5" s="24">
        <f>'Business Model — Revenue'!B8</f>
        <v>235565988</v>
      </c>
      <c r="C5" s="24">
        <f>'Business Model — Revenue'!C8</f>
        <v>567290130</v>
      </c>
      <c r="D5" s="24">
        <f>'Business Model — Revenue'!D8</f>
        <v>1265302800</v>
      </c>
    </row>
    <row r="6" spans="1:5" ht="14.25" x14ac:dyDescent="0.45">
      <c r="A6" s="30" t="s">
        <v>269</v>
      </c>
      <c r="B6" s="27">
        <f>B5*(1-Assumptions!$B$71)</f>
        <v>70669796.400000006</v>
      </c>
      <c r="C6" s="27">
        <f>C5*(1-Assumptions!$B$71)</f>
        <v>170187039.00000003</v>
      </c>
      <c r="D6" s="27">
        <f>D5*(1-Assumptions!$B$71)</f>
        <v>379590840.00000006</v>
      </c>
    </row>
    <row r="7" spans="1:5" x14ac:dyDescent="0.35">
      <c r="A7" t="s">
        <v>270</v>
      </c>
      <c r="B7" s="24">
        <f>'Business Model — Cost'!B11</f>
        <v>24804750</v>
      </c>
      <c r="C7" s="24">
        <f>'Business Model — Cost'!C11</f>
        <v>27515250</v>
      </c>
      <c r="D7" s="24">
        <f>'Business Model — Cost'!D11</f>
        <v>30034500</v>
      </c>
    </row>
    <row r="8" spans="1:5" ht="14.25" x14ac:dyDescent="0.45">
      <c r="A8" s="30" t="s">
        <v>271</v>
      </c>
      <c r="B8" s="27">
        <f>B6-B7</f>
        <v>45865046.400000006</v>
      </c>
      <c r="C8" s="27">
        <f>C6-C7</f>
        <v>142671789.00000003</v>
      </c>
      <c r="D8" s="27">
        <f>D6-D7</f>
        <v>349556340.00000006</v>
      </c>
    </row>
    <row r="10" spans="1:5" ht="14.25" x14ac:dyDescent="0.45">
      <c r="A10" s="6" t="s">
        <v>272</v>
      </c>
      <c r="B10" s="7"/>
      <c r="C10" s="7"/>
      <c r="D10" s="7"/>
      <c r="E10" s="7"/>
    </row>
    <row r="11" spans="1:5" x14ac:dyDescent="0.35">
      <c r="A11" t="s">
        <v>273</v>
      </c>
      <c r="B11" s="23">
        <f>ROUNDDOWN(B6/(Assumptions!$B$64*12),0)</f>
        <v>196</v>
      </c>
      <c r="C11" s="23">
        <f>ROUNDDOWN(C6/(Assumptions!$B$64*12),0)</f>
        <v>472</v>
      </c>
      <c r="D11" s="23">
        <f>ROUNDDOWN(D6/(Assumptions!$B$64*12),0)</f>
        <v>1054</v>
      </c>
    </row>
    <row r="12" spans="1:5" x14ac:dyDescent="0.35">
      <c r="A12" t="s">
        <v>274</v>
      </c>
      <c r="B12" s="23">
        <f>Assumptions!$B$63</f>
        <v>8</v>
      </c>
      <c r="C12" s="23">
        <f>Assumptions!$B$63</f>
        <v>8</v>
      </c>
      <c r="D12" s="23">
        <f>Assumptions!$B$63</f>
        <v>8</v>
      </c>
    </row>
    <row r="14" spans="1:5" ht="14.25" x14ac:dyDescent="0.45">
      <c r="A14" s="6" t="s">
        <v>275</v>
      </c>
      <c r="B14" s="7"/>
      <c r="C14" s="7"/>
      <c r="D14" s="7"/>
      <c r="E14" s="7"/>
    </row>
    <row r="15" spans="1:5" ht="15.75" x14ac:dyDescent="0.5">
      <c r="A15" s="5"/>
      <c r="B15" s="5" t="s">
        <v>206</v>
      </c>
      <c r="C15" s="5" t="s">
        <v>53</v>
      </c>
      <c r="D15" s="5" t="s">
        <v>207</v>
      </c>
      <c r="E15" s="5"/>
    </row>
    <row r="16" spans="1:5" x14ac:dyDescent="0.35">
      <c r="A16" t="s">
        <v>209</v>
      </c>
      <c r="B16" s="24">
        <f>'Business Model — Revenue'!B13</f>
        <v>22165200</v>
      </c>
      <c r="C16" s="24">
        <f>'Business Model — Revenue'!C13</f>
        <v>220866000</v>
      </c>
      <c r="D16" s="24">
        <f>'Business Model — Revenue'!D13</f>
        <v>1265302800</v>
      </c>
    </row>
    <row r="17" spans="1:4" ht="14.25" x14ac:dyDescent="0.45">
      <c r="A17" s="30" t="s">
        <v>276</v>
      </c>
      <c r="B17" s="27">
        <f>B16*(1-Assumptions!$B$71)</f>
        <v>6649560.0000000009</v>
      </c>
      <c r="C17" s="27">
        <f>C16*(1-Assumptions!$B$71)</f>
        <v>66259800.000000007</v>
      </c>
      <c r="D17" s="27">
        <f>D16*(1-Assumptions!$B$71)</f>
        <v>379590840.00000006</v>
      </c>
    </row>
    <row r="18" spans="1:4" x14ac:dyDescent="0.35">
      <c r="A18" t="s">
        <v>277</v>
      </c>
      <c r="B18" s="23">
        <f>ROUNDDOWN(B17/(Assumptions!$B$64*12),0)</f>
        <v>18</v>
      </c>
      <c r="C18" s="23">
        <f>ROUNDDOWN(C17/(Assumptions!$B$64*12),0)</f>
        <v>184</v>
      </c>
      <c r="D18" s="23">
        <f>ROUNDDOWN(D17/(Assumptions!$B$64*12),0)</f>
        <v>1054</v>
      </c>
    </row>
    <row r="20" spans="1:4" ht="45" customHeight="1" x14ac:dyDescent="0.35">
      <c r="A20" s="34" t="s">
        <v>278</v>
      </c>
    </row>
    <row r="22" spans="1:4" x14ac:dyDescent="0.35">
      <c r="A22" s="38" t="s">
        <v>338</v>
      </c>
    </row>
    <row r="23" spans="1:4" x14ac:dyDescent="0.35">
      <c r="A23" t="s">
        <v>331</v>
      </c>
      <c r="B23" s="44">
        <f>'Business Model — Revenue'!D18</f>
        <v>3036726720</v>
      </c>
    </row>
    <row r="24" spans="1:4" x14ac:dyDescent="0.35">
      <c r="A24" t="s">
        <v>339</v>
      </c>
      <c r="B24" s="42">
        <f>B23*(1-Assumptions!$B$71)</f>
        <v>911018016.00000012</v>
      </c>
    </row>
    <row r="25" spans="1:4" x14ac:dyDescent="0.35">
      <c r="A25" t="s">
        <v>340</v>
      </c>
      <c r="B25" s="22">
        <f>ROUNDDOWN(B24/(Assumptions!$B$64*12),0)</f>
        <v>2530</v>
      </c>
    </row>
    <row r="26" spans="1:4" x14ac:dyDescent="0.35">
      <c r="A26" t="s">
        <v>414</v>
      </c>
      <c r="B26" s="22">
        <f>Assumptions!$B$79</f>
        <v>12</v>
      </c>
    </row>
    <row r="28" spans="1:4" x14ac:dyDescent="0.35">
      <c r="A28" s="38" t="s">
        <v>415</v>
      </c>
    </row>
    <row r="29" spans="1:4" x14ac:dyDescent="0.35">
      <c r="A29" t="s">
        <v>24</v>
      </c>
      <c r="B29" s="45" t="s">
        <v>394</v>
      </c>
      <c r="C29" s="45" t="s">
        <v>395</v>
      </c>
    </row>
    <row r="30" spans="1:4" x14ac:dyDescent="0.35">
      <c r="A30" t="s">
        <v>412</v>
      </c>
      <c r="B30" s="44">
        <f>'Business Model — Revenue'!B23</f>
        <v>599969520</v>
      </c>
      <c r="C30" s="44">
        <f>'Business Model — Revenue'!B28</f>
        <v>1200033360</v>
      </c>
    </row>
    <row r="31" spans="1:4" x14ac:dyDescent="0.35">
      <c r="A31" s="37" t="s">
        <v>416</v>
      </c>
      <c r="B31" s="42">
        <f>B30*(1-Assumptions!$B$71)</f>
        <v>179990856.00000003</v>
      </c>
      <c r="C31" s="42">
        <f>C30*(1-Assumptions!$B$71)</f>
        <v>360010008.00000006</v>
      </c>
    </row>
    <row r="32" spans="1:4" x14ac:dyDescent="0.35">
      <c r="A32" t="s">
        <v>417</v>
      </c>
      <c r="B32" s="22">
        <f>ROUNDDOWN(B31/(Assumptions!$B$64*12),0)</f>
        <v>499</v>
      </c>
      <c r="C32" s="22">
        <f>ROUNDDOWN(C31/(Assumptions!$B$64*12),0)</f>
        <v>1000</v>
      </c>
    </row>
    <row r="33" spans="1:3" x14ac:dyDescent="0.35">
      <c r="A33" t="s">
        <v>418</v>
      </c>
      <c r="B33" s="22">
        <f>Assumptions!$B$84</f>
        <v>20</v>
      </c>
      <c r="C33" s="22">
        <f>Assumptions!$B$85</f>
        <v>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workbookViewId="0">
      <pane ySplit="4" topLeftCell="A5" activePane="bottomLeft" state="frozen"/>
      <selection pane="bottomLeft" activeCell="A13" sqref="A13"/>
    </sheetView>
  </sheetViews>
  <sheetFormatPr defaultRowHeight="13.5" x14ac:dyDescent="0.35"/>
  <cols>
    <col min="1" max="1" width="30" customWidth="1"/>
    <col min="2" max="2" width="16" customWidth="1"/>
    <col min="3" max="3" width="26" customWidth="1"/>
    <col min="4" max="5" width="30" customWidth="1"/>
    <col min="6" max="6" width="46" customWidth="1"/>
  </cols>
  <sheetData>
    <row r="1" spans="1:6" ht="18" x14ac:dyDescent="0.55000000000000004">
      <c r="A1" s="4" t="s">
        <v>229</v>
      </c>
    </row>
    <row r="2" spans="1:6" x14ac:dyDescent="0.35">
      <c r="A2" s="3" t="s">
        <v>454</v>
      </c>
    </row>
    <row r="4" spans="1:6" ht="15.75" x14ac:dyDescent="0.5">
      <c r="A4" s="5" t="s">
        <v>230</v>
      </c>
      <c r="B4" s="5" t="s">
        <v>231</v>
      </c>
      <c r="C4" s="5" t="s">
        <v>232</v>
      </c>
      <c r="D4" s="5" t="s">
        <v>233</v>
      </c>
      <c r="E4" s="5" t="s">
        <v>234</v>
      </c>
      <c r="F4" s="5" t="s">
        <v>235</v>
      </c>
    </row>
    <row r="5" spans="1:6" ht="27" x14ac:dyDescent="0.35">
      <c r="A5" s="31" t="s">
        <v>236</v>
      </c>
      <c r="B5" s="31" t="s">
        <v>237</v>
      </c>
      <c r="C5" s="31" t="s">
        <v>238</v>
      </c>
      <c r="D5" s="31" t="s">
        <v>239</v>
      </c>
      <c r="E5" s="31" t="s">
        <v>240</v>
      </c>
      <c r="F5" s="31" t="s">
        <v>241</v>
      </c>
    </row>
    <row r="6" spans="1:6" ht="27" x14ac:dyDescent="0.35">
      <c r="A6" s="31" t="s">
        <v>242</v>
      </c>
      <c r="B6" s="31" t="s">
        <v>243</v>
      </c>
      <c r="C6" s="31" t="s">
        <v>244</v>
      </c>
      <c r="D6" s="31" t="s">
        <v>245</v>
      </c>
      <c r="E6" s="31" t="s">
        <v>246</v>
      </c>
      <c r="F6" s="31" t="s">
        <v>247</v>
      </c>
    </row>
    <row r="7" spans="1:6" ht="27" x14ac:dyDescent="0.35">
      <c r="A7" s="31" t="s">
        <v>248</v>
      </c>
      <c r="B7" s="31" t="s">
        <v>243</v>
      </c>
      <c r="C7" s="31" t="s">
        <v>249</v>
      </c>
      <c r="D7" s="31" t="s">
        <v>250</v>
      </c>
      <c r="E7" s="31" t="s">
        <v>251</v>
      </c>
      <c r="F7" s="31" t="s">
        <v>252</v>
      </c>
    </row>
    <row r="8" spans="1:6" ht="27" x14ac:dyDescent="0.35">
      <c r="A8" s="31" t="s">
        <v>253</v>
      </c>
      <c r="B8" s="31" t="s">
        <v>254</v>
      </c>
      <c r="C8" s="31" t="s">
        <v>255</v>
      </c>
      <c r="D8" s="31" t="s">
        <v>256</v>
      </c>
      <c r="E8" s="31" t="s">
        <v>257</v>
      </c>
      <c r="F8" s="31" t="s">
        <v>258</v>
      </c>
    </row>
    <row r="9" spans="1:6" ht="40.5" x14ac:dyDescent="0.35">
      <c r="A9" s="31" t="s">
        <v>453</v>
      </c>
      <c r="B9" s="31" t="s">
        <v>259</v>
      </c>
      <c r="C9" s="31" t="s">
        <v>260</v>
      </c>
      <c r="D9" s="31" t="s">
        <v>261</v>
      </c>
      <c r="E9" s="31" t="s">
        <v>262</v>
      </c>
      <c r="F9" s="31" t="s">
        <v>263</v>
      </c>
    </row>
    <row r="10" spans="1:6" ht="54" x14ac:dyDescent="0.35">
      <c r="A10" s="66" t="s">
        <v>432</v>
      </c>
      <c r="B10" s="31" t="s">
        <v>433</v>
      </c>
      <c r="C10" s="31" t="s">
        <v>434</v>
      </c>
      <c r="D10" s="31" t="s">
        <v>435</v>
      </c>
      <c r="E10" s="31" t="s">
        <v>436</v>
      </c>
      <c r="F10" s="31" t="s">
        <v>437</v>
      </c>
    </row>
    <row r="11" spans="1:6" ht="40.5" x14ac:dyDescent="0.35">
      <c r="A11" s="66" t="s">
        <v>438</v>
      </c>
      <c r="B11" s="31" t="s">
        <v>433</v>
      </c>
      <c r="C11" s="31" t="s">
        <v>439</v>
      </c>
      <c r="D11" s="31" t="s">
        <v>439</v>
      </c>
      <c r="E11" s="31" t="s">
        <v>440</v>
      </c>
      <c r="F11" s="31" t="s">
        <v>441</v>
      </c>
    </row>
    <row r="12" spans="1:6" ht="30" customHeight="1" x14ac:dyDescent="0.35">
      <c r="A12" s="66" t="s">
        <v>442</v>
      </c>
      <c r="B12" s="31" t="s">
        <v>443</v>
      </c>
      <c r="C12" s="31" t="s">
        <v>444</v>
      </c>
      <c r="D12" s="31" t="s">
        <v>445</v>
      </c>
      <c r="E12" s="31" t="s">
        <v>446</v>
      </c>
      <c r="F12" s="31" t="s">
        <v>447</v>
      </c>
    </row>
    <row r="13" spans="1:6" ht="54" x14ac:dyDescent="0.35">
      <c r="A13" s="66" t="s">
        <v>448</v>
      </c>
      <c r="B13" s="31" t="s">
        <v>243</v>
      </c>
      <c r="C13" s="31" t="s">
        <v>449</v>
      </c>
      <c r="D13" s="31" t="s">
        <v>450</v>
      </c>
      <c r="E13" s="31" t="s">
        <v>451</v>
      </c>
      <c r="F13" s="31" t="s">
        <v>452</v>
      </c>
    </row>
    <row r="14" spans="1:6" ht="57" x14ac:dyDescent="0.45">
      <c r="A14" s="32" t="s">
        <v>264</v>
      </c>
      <c r="B14" s="33" t="s">
        <v>243</v>
      </c>
      <c r="C14" s="33" t="s">
        <v>347</v>
      </c>
      <c r="D14" s="33" t="str">
        <f>Assumptions!$B$55&amp;" บาท/เดือน (Small) · "&amp;Assumptions!$B$56&amp;" บาท/เดือน (Medium) · "&amp;Assumptions!$B$57&amp;" บาท/เดือน (ใหญ่)"</f>
        <v>5000 บาท/เดือน (Small) · 7000 บาท/เดือน (Medium) · 12000 บาท/เดือน (ใหญ่)</v>
      </c>
      <c r="E14" s="33" t="s">
        <v>265</v>
      </c>
      <c r="F14" s="33" t="s">
        <v>266</v>
      </c>
    </row>
    <row r="16" spans="1:6" ht="116.25" x14ac:dyDescent="0.35">
      <c r="A16" s="34" t="s">
        <v>455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0"/>
  <sheetViews>
    <sheetView workbookViewId="0">
      <pane ySplit="4" topLeftCell="A5" activePane="bottomLeft" state="frozen"/>
      <selection pane="bottomLeft"/>
    </sheetView>
  </sheetViews>
  <sheetFormatPr defaultRowHeight="13.5" x14ac:dyDescent="0.35"/>
  <cols>
    <col min="1" max="1" width="42" customWidth="1"/>
    <col min="2" max="4" width="20" customWidth="1"/>
    <col min="5" max="5" width="50" customWidth="1"/>
  </cols>
  <sheetData>
    <row r="1" spans="1:5" ht="18" x14ac:dyDescent="0.55000000000000004">
      <c r="A1" s="4" t="s">
        <v>279</v>
      </c>
    </row>
    <row r="2" spans="1:5" x14ac:dyDescent="0.35">
      <c r="A2" s="3" t="s">
        <v>280</v>
      </c>
    </row>
    <row r="4" spans="1:5" ht="15.75" x14ac:dyDescent="0.5">
      <c r="A4" s="5"/>
      <c r="B4" s="5" t="s">
        <v>188</v>
      </c>
      <c r="C4" s="5" t="s">
        <v>189</v>
      </c>
      <c r="D4" s="5" t="s">
        <v>190</v>
      </c>
      <c r="E4" s="5"/>
    </row>
    <row r="5" spans="1:5" ht="14.25" x14ac:dyDescent="0.45">
      <c r="A5" s="6" t="s">
        <v>281</v>
      </c>
      <c r="B5" s="7"/>
      <c r="C5" s="7"/>
      <c r="D5" s="7"/>
      <c r="E5" s="7"/>
    </row>
    <row r="6" spans="1:5" x14ac:dyDescent="0.35">
      <c r="A6" t="s">
        <v>194</v>
      </c>
      <c r="B6" s="24">
        <f>'Client — Summary'!B7</f>
        <v>60119.183749999997</v>
      </c>
      <c r="C6" s="24">
        <f>'Client — Summary'!C7</f>
        <v>426107.05833333329</v>
      </c>
      <c r="D6" s="24">
        <f>'Client — Summary'!D7</f>
        <v>750964.1166666667</v>
      </c>
    </row>
    <row r="7" spans="1:5" x14ac:dyDescent="0.35">
      <c r="A7" t="s">
        <v>282</v>
      </c>
      <c r="B7" s="24">
        <f>'Client — Summary'!B8</f>
        <v>60000</v>
      </c>
      <c r="C7" s="24">
        <f>'Client — Summary'!C8</f>
        <v>84000</v>
      </c>
      <c r="D7" s="24">
        <f>'Client — Summary'!D8</f>
        <v>144000</v>
      </c>
    </row>
    <row r="8" spans="1:5" ht="14.25" x14ac:dyDescent="0.45">
      <c r="A8" s="30" t="s">
        <v>196</v>
      </c>
      <c r="B8" s="28">
        <f>'Client — Summary'!B9</f>
        <v>1.0019863958333333</v>
      </c>
      <c r="C8" s="28">
        <f>'Client — Summary'!C9</f>
        <v>5.0727030753968245</v>
      </c>
      <c r="D8" s="28">
        <f>'Client — Summary'!D9</f>
        <v>5.215028587962963</v>
      </c>
    </row>
    <row r="9" spans="1:5" ht="45" customHeight="1" x14ac:dyDescent="0.35">
      <c r="A9" t="s">
        <v>283</v>
      </c>
      <c r="B9" s="35" t="s">
        <v>348</v>
      </c>
      <c r="C9" s="35" t="s">
        <v>284</v>
      </c>
      <c r="D9" s="35" t="s">
        <v>349</v>
      </c>
    </row>
    <row r="11" spans="1:5" ht="14.25" x14ac:dyDescent="0.45">
      <c r="A11" s="6" t="s">
        <v>285</v>
      </c>
      <c r="B11" s="7"/>
      <c r="C11" s="7"/>
      <c r="D11" s="7"/>
      <c r="E11" s="7"/>
    </row>
    <row r="12" spans="1:5" x14ac:dyDescent="0.35">
      <c r="A12" t="s">
        <v>286</v>
      </c>
      <c r="B12" s="24">
        <f>'Client — Summary'!B8</f>
        <v>60000</v>
      </c>
      <c r="C12" s="24">
        <f>'Client — Summary'!C8</f>
        <v>84000</v>
      </c>
      <c r="D12" s="24">
        <f>'Client — Summary'!D8</f>
        <v>144000</v>
      </c>
    </row>
    <row r="13" spans="1:5" x14ac:dyDescent="0.35">
      <c r="A13" t="s">
        <v>287</v>
      </c>
      <c r="B13" s="29">
        <f>Assumptions!$B$59</f>
        <v>0.6</v>
      </c>
      <c r="C13" s="29">
        <f>Assumptions!$B$60</f>
        <v>0.25</v>
      </c>
      <c r="D13" s="29">
        <f>Assumptions!$B$61</f>
        <v>0.15</v>
      </c>
    </row>
    <row r="14" spans="1:5" x14ac:dyDescent="0.35">
      <c r="A14" t="s">
        <v>288</v>
      </c>
      <c r="B14" s="23">
        <f>ROUND('Business Model — Revenue'!D5*Assumptions!$B$59,0)</f>
        <v>9659</v>
      </c>
      <c r="C14" s="23">
        <f>ROUND('Business Model — Revenue'!D5*Assumptions!$B$60,0)</f>
        <v>4025</v>
      </c>
      <c r="D14" s="23">
        <f>ROUND('Business Model — Revenue'!D5*Assumptions!$B$61,0)</f>
        <v>2415</v>
      </c>
    </row>
    <row r="15" spans="1:5" ht="14.25" x14ac:dyDescent="0.45">
      <c r="A15" s="30" t="s">
        <v>289</v>
      </c>
      <c r="B15" s="27">
        <f>B14*B7</f>
        <v>579540000</v>
      </c>
      <c r="C15" s="27">
        <f>C14*C7</f>
        <v>338100000</v>
      </c>
      <c r="D15" s="27">
        <f>D14*D7</f>
        <v>347760000</v>
      </c>
    </row>
    <row r="16" spans="1:5" x14ac:dyDescent="0.35">
      <c r="A16" t="s">
        <v>290</v>
      </c>
      <c r="B16" s="24">
        <f>B15*Assumptions!$B$71</f>
        <v>405678000</v>
      </c>
      <c r="C16" s="24">
        <f>C15*Assumptions!$B$71</f>
        <v>236669999.99999997</v>
      </c>
      <c r="D16" s="24">
        <f>D15*Assumptions!$B$71</f>
        <v>243431999.99999997</v>
      </c>
    </row>
    <row r="18" spans="1:5" ht="14.25" x14ac:dyDescent="0.45">
      <c r="A18" s="30" t="s">
        <v>291</v>
      </c>
      <c r="B18" s="27">
        <f>B15+C15+D15</f>
        <v>1265400000</v>
      </c>
      <c r="C18" s="24">
        <f>'Business Model — Revenue'!D8</f>
        <v>1265302800</v>
      </c>
      <c r="D18" s="3" t="s">
        <v>292</v>
      </c>
    </row>
    <row r="20" spans="1:5" ht="30" customHeight="1" x14ac:dyDescent="0.35">
      <c r="A20" s="34" t="s">
        <v>293</v>
      </c>
    </row>
    <row r="22" spans="1:5" ht="14.25" x14ac:dyDescent="0.45">
      <c r="A22" s="6" t="s">
        <v>294</v>
      </c>
      <c r="B22" s="7"/>
      <c r="C22" s="7"/>
      <c r="D22" s="7"/>
      <c r="E22" s="7"/>
    </row>
    <row r="23" spans="1:5" ht="15.75" x14ac:dyDescent="0.5">
      <c r="A23" s="5" t="s">
        <v>295</v>
      </c>
      <c r="B23" s="5" t="s">
        <v>296</v>
      </c>
      <c r="C23" s="5"/>
      <c r="D23" s="5"/>
      <c r="E23" s="5" t="s">
        <v>297</v>
      </c>
    </row>
    <row r="24" spans="1:5" ht="46.05" customHeight="1" x14ac:dyDescent="0.35">
      <c r="A24" s="33" t="s">
        <v>298</v>
      </c>
      <c r="B24" s="118" t="s">
        <v>299</v>
      </c>
      <c r="C24" s="119"/>
      <c r="E24" s="36" t="s">
        <v>300</v>
      </c>
    </row>
    <row r="25" spans="1:5" ht="46.05" customHeight="1" x14ac:dyDescent="0.35">
      <c r="A25" s="33" t="s">
        <v>301</v>
      </c>
      <c r="B25" s="118" t="s">
        <v>302</v>
      </c>
      <c r="C25" s="119"/>
      <c r="E25" s="36" t="s">
        <v>303</v>
      </c>
    </row>
    <row r="26" spans="1:5" ht="46.05" customHeight="1" x14ac:dyDescent="0.35">
      <c r="A26" s="33" t="s">
        <v>304</v>
      </c>
      <c r="B26" s="118" t="s">
        <v>305</v>
      </c>
      <c r="C26" s="119"/>
      <c r="E26" s="36" t="s">
        <v>306</v>
      </c>
    </row>
    <row r="27" spans="1:5" ht="46.05" customHeight="1" x14ac:dyDescent="0.35">
      <c r="A27" s="33" t="s">
        <v>307</v>
      </c>
      <c r="B27" s="118" t="s">
        <v>308</v>
      </c>
      <c r="C27" s="119"/>
      <c r="E27" s="36" t="s">
        <v>300</v>
      </c>
    </row>
    <row r="28" spans="1:5" ht="46.05" customHeight="1" x14ac:dyDescent="0.35">
      <c r="A28" s="33" t="s">
        <v>309</v>
      </c>
      <c r="B28" s="118" t="s">
        <v>310</v>
      </c>
      <c r="C28" s="119"/>
      <c r="E28" s="36" t="s">
        <v>311</v>
      </c>
    </row>
    <row r="30" spans="1:5" ht="30" customHeight="1" x14ac:dyDescent="0.35">
      <c r="A30" s="34" t="s">
        <v>312</v>
      </c>
    </row>
  </sheetData>
  <mergeCells count="5">
    <mergeCell ref="B24:C24"/>
    <mergeCell ref="B25:C25"/>
    <mergeCell ref="B28:C28"/>
    <mergeCell ref="B26:C26"/>
    <mergeCell ref="B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Investor Dashboard</vt:lpstr>
      <vt:lpstr>README</vt:lpstr>
      <vt:lpstr>Assumptions</vt:lpstr>
      <vt:lpstr>GTM — Bottom-Up</vt:lpstr>
      <vt:lpstr>Market — TopDown</vt:lpstr>
      <vt:lpstr>Client — Small</vt:lpstr>
      <vt:lpstr>Client — Medium</vt:lpstr>
      <vt:lpstr>Client — Large</vt:lpstr>
      <vt:lpstr>Client — Summary</vt:lpstr>
      <vt:lpstr>AI Infra — Unit Cost</vt:lpstr>
      <vt:lpstr>Cost Structure</vt:lpstr>
      <vt:lpstr>Pricing Strategy</vt:lpstr>
      <vt:lpstr>5-Year Projection</vt:lpstr>
      <vt:lpstr>Business Model — Revenue</vt:lpstr>
      <vt:lpstr>Business Model — Cost</vt:lpstr>
      <vt:lpstr>Business Model — Profit</vt:lpstr>
      <vt:lpstr>Sustainability Impact</vt:lpstr>
      <vt:lpstr>Cost — Sustainability</vt:lpstr>
      <vt:lpstr>Competitors</vt:lpstr>
      <vt:lpstr>Win-Win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mtr billcipher</cp:lastModifiedBy>
  <dcterms:created xsi:type="dcterms:W3CDTF">2026-09-01T17:10:30Z</dcterms:created>
  <dcterms:modified xsi:type="dcterms:W3CDTF">2026-09-03T00:35:37Z</dcterms:modified>
</cp:coreProperties>
</file>